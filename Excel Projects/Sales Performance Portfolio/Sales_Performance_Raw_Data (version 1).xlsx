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user\Desktop\EXCEL 1\Project2\"/>
    </mc:Choice>
  </mc:AlternateContent>
  <xr:revisionPtr revIDLastSave="0" documentId="13_ncr:1_{8608D386-686D-4F8B-9508-761C9767CBCE}" xr6:coauthVersionLast="47" xr6:coauthVersionMax="47" xr10:uidLastSave="{00000000-0000-0000-0000-000000000000}"/>
  <bookViews>
    <workbookView xWindow="-120" yWindow="-120" windowWidth="20730" windowHeight="11160" activeTab="3" xr2:uid="{00000000-000D-0000-FFFF-FFFF00000000}"/>
  </bookViews>
  <sheets>
    <sheet name="Analysis" sheetId="3" r:id="rId1"/>
    <sheet name="Sales_Clean_Data" sheetId="2" r:id="rId2"/>
    <sheet name="Sales_Raw_Data" sheetId="1" r:id="rId3"/>
    <sheet name="Dashboard" sheetId="4" r:id="rId4"/>
  </sheets>
  <definedNames>
    <definedName name="Slicer_Month">#N/A</definedName>
    <definedName name="Slicer_Product">#N/A</definedName>
    <definedName name="Slicer_Region">#N/A</definedName>
  </definedNames>
  <calcPr calcId="191029"/>
  <pivotCaches>
    <pivotCache cacheId="6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B3" i="3"/>
  <c r="B4" i="3"/>
  <c r="B4" i="4" s="1"/>
  <c r="B2" i="3"/>
  <c r="B2" i="4" s="1"/>
  <c r="B3" i="4" l="1"/>
  <c r="B5" i="3"/>
  <c r="B5" i="4" s="1"/>
</calcChain>
</file>

<file path=xl/sharedStrings.xml><?xml version="1.0" encoding="utf-8"?>
<sst xmlns="http://schemas.openxmlformats.org/spreadsheetml/2006/main" count="3670" uniqueCount="547">
  <si>
    <t>Order_ID</t>
  </si>
  <si>
    <t>Order_Date</t>
  </si>
  <si>
    <t>Region</t>
  </si>
  <si>
    <t>Salesperson</t>
  </si>
  <si>
    <t>Product</t>
  </si>
  <si>
    <t>Category</t>
  </si>
  <si>
    <t>Quantity</t>
  </si>
  <si>
    <t>Revenue</t>
  </si>
  <si>
    <t>Cost</t>
  </si>
  <si>
    <t>Profit</t>
  </si>
  <si>
    <t>ORD0001</t>
  </si>
  <si>
    <t>2024-03-19</t>
  </si>
  <si>
    <t>East</t>
  </si>
  <si>
    <t>Ben</t>
  </si>
  <si>
    <t>Monitor</t>
  </si>
  <si>
    <t>Electronics</t>
  </si>
  <si>
    <t>ORD0002</t>
  </si>
  <si>
    <t>2024-02-08</t>
  </si>
  <si>
    <t>West</t>
  </si>
  <si>
    <t>Alex</t>
  </si>
  <si>
    <t>Mouse</t>
  </si>
  <si>
    <t>Accessories</t>
  </si>
  <si>
    <t>ORD0003</t>
  </si>
  <si>
    <t>2024-12-21</t>
  </si>
  <si>
    <t>North</t>
  </si>
  <si>
    <t>ORD0004</t>
  </si>
  <si>
    <t>2024-01-22</t>
  </si>
  <si>
    <t>South</t>
  </si>
  <si>
    <t>Diana</t>
  </si>
  <si>
    <t>Laptop</t>
  </si>
  <si>
    <t>ORD0005</t>
  </si>
  <si>
    <t>2024-04-26</t>
  </si>
  <si>
    <t>Ethan</t>
  </si>
  <si>
    <t>ORD0006</t>
  </si>
  <si>
    <t>2024-03-01</t>
  </si>
  <si>
    <t>ORD0007</t>
  </si>
  <si>
    <t>2024-10-24</t>
  </si>
  <si>
    <t>Fiona</t>
  </si>
  <si>
    <t>Keyboard</t>
  </si>
  <si>
    <t>ORD0008</t>
  </si>
  <si>
    <t>2024-02-16</t>
  </si>
  <si>
    <t>ORD0009</t>
  </si>
  <si>
    <t>2024-12-24</t>
  </si>
  <si>
    <t>ORD0010</t>
  </si>
  <si>
    <t>2024-12-07</t>
  </si>
  <si>
    <t>ORD0011</t>
  </si>
  <si>
    <t>2024-07-30</t>
  </si>
  <si>
    <t>Clara</t>
  </si>
  <si>
    <t>ORD0012</t>
  </si>
  <si>
    <t>2024-11-07</t>
  </si>
  <si>
    <t>ORD0013</t>
  </si>
  <si>
    <t>2024-07-16</t>
  </si>
  <si>
    <t>ORD0014</t>
  </si>
  <si>
    <t>2024-06-23</t>
  </si>
  <si>
    <t>ORD0015</t>
  </si>
  <si>
    <t>2024-07-03</t>
  </si>
  <si>
    <t>ORD0016</t>
  </si>
  <si>
    <t>2024-10-01</t>
  </si>
  <si>
    <t>Phone</t>
  </si>
  <si>
    <t>ORD0017</t>
  </si>
  <si>
    <t>2024-07-17</t>
  </si>
  <si>
    <t>ORD0018</t>
  </si>
  <si>
    <t>2024-04-11</t>
  </si>
  <si>
    <t>ORD0019</t>
  </si>
  <si>
    <t>2024-09-26</t>
  </si>
  <si>
    <t>ORD0020</t>
  </si>
  <si>
    <t>2024-11-15</t>
  </si>
  <si>
    <t>ORD0021</t>
  </si>
  <si>
    <t>2024-06-14</t>
  </si>
  <si>
    <t>ORD0022</t>
  </si>
  <si>
    <t>2024-06-05</t>
  </si>
  <si>
    <t>Headphones</t>
  </si>
  <si>
    <t>ORD0023</t>
  </si>
  <si>
    <t>2024-08-30</t>
  </si>
  <si>
    <t>ORD0024</t>
  </si>
  <si>
    <t>2024-08-02</t>
  </si>
  <si>
    <t>ORD0025</t>
  </si>
  <si>
    <t>2024-02-13</t>
  </si>
  <si>
    <t>ORD0026</t>
  </si>
  <si>
    <t>2024-11-05</t>
  </si>
  <si>
    <t>ORD0027</t>
  </si>
  <si>
    <t>2024-10-06</t>
  </si>
  <si>
    <t>ORD0028</t>
  </si>
  <si>
    <t>2024-09-09</t>
  </si>
  <si>
    <t>ORD0029</t>
  </si>
  <si>
    <t>2024-11-29</t>
  </si>
  <si>
    <t>ORD0030</t>
  </si>
  <si>
    <t>2024-10-27</t>
  </si>
  <si>
    <t>ORD0031</t>
  </si>
  <si>
    <t>2024-03-08</t>
  </si>
  <si>
    <t>ORD0032</t>
  </si>
  <si>
    <t>2024-01-04</t>
  </si>
  <si>
    <t>ORD0033</t>
  </si>
  <si>
    <t>2024-06-10</t>
  </si>
  <si>
    <t>ORD0034</t>
  </si>
  <si>
    <t>2024-02-17</t>
  </si>
  <si>
    <t>ORD0035</t>
  </si>
  <si>
    <t>2024-05-15</t>
  </si>
  <si>
    <t>ORD0036</t>
  </si>
  <si>
    <t>2024-04-21</t>
  </si>
  <si>
    <t>ORD0037</t>
  </si>
  <si>
    <t>2024-06-25</t>
  </si>
  <si>
    <t>ORD0038</t>
  </si>
  <si>
    <t>2024-08-25</t>
  </si>
  <si>
    <t>ORD0039</t>
  </si>
  <si>
    <t>2024-07-19</t>
  </si>
  <si>
    <t>ORD0040</t>
  </si>
  <si>
    <t>2024-11-12</t>
  </si>
  <si>
    <t>ORD0041</t>
  </si>
  <si>
    <t>2024-11-19</t>
  </si>
  <si>
    <t>ORD0042</t>
  </si>
  <si>
    <t>2024-02-22</t>
  </si>
  <si>
    <t>ORD0043</t>
  </si>
  <si>
    <t>2024-08-27</t>
  </si>
  <si>
    <t>ORD0044</t>
  </si>
  <si>
    <t>2024-04-05</t>
  </si>
  <si>
    <t>ORD0045</t>
  </si>
  <si>
    <t>2024-07-21</t>
  </si>
  <si>
    <t>ORD0046</t>
  </si>
  <si>
    <t>2024-03-18</t>
  </si>
  <si>
    <t>ORD0047</t>
  </si>
  <si>
    <t>2024-12-09</t>
  </si>
  <si>
    <t>ORD0048</t>
  </si>
  <si>
    <t>2024-01-02</t>
  </si>
  <si>
    <t>ORD0049</t>
  </si>
  <si>
    <t>2024-05-07</t>
  </si>
  <si>
    <t>ORD0050</t>
  </si>
  <si>
    <t>ORD0051</t>
  </si>
  <si>
    <t>2024-09-21</t>
  </si>
  <si>
    <t>ORD0052</t>
  </si>
  <si>
    <t>2024-03-12</t>
  </si>
  <si>
    <t>ORD0053</t>
  </si>
  <si>
    <t>2024-03-02</t>
  </si>
  <si>
    <t>ORD0054</t>
  </si>
  <si>
    <t>2024-03-24</t>
  </si>
  <si>
    <t>ORD0055</t>
  </si>
  <si>
    <t>2024-06-28</t>
  </si>
  <si>
    <t>ORD0056</t>
  </si>
  <si>
    <t>2024-12-26</t>
  </si>
  <si>
    <t>ORD0057</t>
  </si>
  <si>
    <t>2024-05-12</t>
  </si>
  <si>
    <t>ORD0058</t>
  </si>
  <si>
    <t>2024-12-16</t>
  </si>
  <si>
    <t>ORD0059</t>
  </si>
  <si>
    <t>2024-04-14</t>
  </si>
  <si>
    <t>ORD0060</t>
  </si>
  <si>
    <t>2024-08-21</t>
  </si>
  <si>
    <t>ORD0061</t>
  </si>
  <si>
    <t>2024-03-03</t>
  </si>
  <si>
    <t>ORD0062</t>
  </si>
  <si>
    <t>2024-11-02</t>
  </si>
  <si>
    <t>ORD0063</t>
  </si>
  <si>
    <t>2024-01-11</t>
  </si>
  <si>
    <t>ORD0064</t>
  </si>
  <si>
    <t>2024-06-21</t>
  </si>
  <si>
    <t>ORD0065</t>
  </si>
  <si>
    <t>2024-03-30</t>
  </si>
  <si>
    <t>ORD0066</t>
  </si>
  <si>
    <t>ORD0067</t>
  </si>
  <si>
    <t>2024-11-13</t>
  </si>
  <si>
    <t>ORD0068</t>
  </si>
  <si>
    <t>2024-07-11</t>
  </si>
  <si>
    <t>ORD0069</t>
  </si>
  <si>
    <t>2024-02-20</t>
  </si>
  <si>
    <t>ORD0070</t>
  </si>
  <si>
    <t>2024-12-02</t>
  </si>
  <si>
    <t>ORD0071</t>
  </si>
  <si>
    <t>2024-05-14</t>
  </si>
  <si>
    <t>ORD0072</t>
  </si>
  <si>
    <t>2024-01-29</t>
  </si>
  <si>
    <t>ORD0073</t>
  </si>
  <si>
    <t>ORD0074</t>
  </si>
  <si>
    <t>2024-10-07</t>
  </si>
  <si>
    <t>ORD0075</t>
  </si>
  <si>
    <t>2024-02-24</t>
  </si>
  <si>
    <t>ORD0076</t>
  </si>
  <si>
    <t>2024-04-03</t>
  </si>
  <si>
    <t>ORD0077</t>
  </si>
  <si>
    <t>2024-05-09</t>
  </si>
  <si>
    <t>ORD0078</t>
  </si>
  <si>
    <t>2024-10-02</t>
  </si>
  <si>
    <t>ORD0079</t>
  </si>
  <si>
    <t>2024-12-25</t>
  </si>
  <si>
    <t>ORD0080</t>
  </si>
  <si>
    <t>2024-11-10</t>
  </si>
  <si>
    <t>ORD0081</t>
  </si>
  <si>
    <t>2024-08-16</t>
  </si>
  <si>
    <t>ORD0082</t>
  </si>
  <si>
    <t>2024-09-05</t>
  </si>
  <si>
    <t>ORD0083</t>
  </si>
  <si>
    <t>2024-04-02</t>
  </si>
  <si>
    <t>ORD0084</t>
  </si>
  <si>
    <t>ORD0085</t>
  </si>
  <si>
    <t>2024-01-17</t>
  </si>
  <si>
    <t>ORD0086</t>
  </si>
  <si>
    <t>2024-05-20</t>
  </si>
  <si>
    <t>ORD0087</t>
  </si>
  <si>
    <t>2024-12-27</t>
  </si>
  <si>
    <t>ORD0088</t>
  </si>
  <si>
    <t>2024-01-19</t>
  </si>
  <si>
    <t>ORD0089</t>
  </si>
  <si>
    <t>2024-02-15</t>
  </si>
  <si>
    <t>ORD0090</t>
  </si>
  <si>
    <t>2024-03-10</t>
  </si>
  <si>
    <t>ORD0091</t>
  </si>
  <si>
    <t>2024-10-20</t>
  </si>
  <si>
    <t>ORD0092</t>
  </si>
  <si>
    <t>2024-05-08</t>
  </si>
  <si>
    <t>ORD0093</t>
  </si>
  <si>
    <t>2024-06-13</t>
  </si>
  <si>
    <t>ORD0094</t>
  </si>
  <si>
    <t>2024-06-09</t>
  </si>
  <si>
    <t>ORD0095</t>
  </si>
  <si>
    <t>2024-04-13</t>
  </si>
  <si>
    <t>ORD0096</t>
  </si>
  <si>
    <t>2024-08-09</t>
  </si>
  <si>
    <t>ORD0097</t>
  </si>
  <si>
    <t>2024-12-28</t>
  </si>
  <si>
    <t>ORD0098</t>
  </si>
  <si>
    <t>2024-06-03</t>
  </si>
  <si>
    <t>ORD0099</t>
  </si>
  <si>
    <t>2024-04-22</t>
  </si>
  <si>
    <t>ORD0100</t>
  </si>
  <si>
    <t>ORD0101</t>
  </si>
  <si>
    <t>ORD0102</t>
  </si>
  <si>
    <t>ORD0103</t>
  </si>
  <si>
    <t>2024-08-03</t>
  </si>
  <si>
    <t>ORD0104</t>
  </si>
  <si>
    <t>ORD0105</t>
  </si>
  <si>
    <t>2024-06-29</t>
  </si>
  <si>
    <t>ORD0106</t>
  </si>
  <si>
    <t>ORD0107</t>
  </si>
  <si>
    <t>ORD0108</t>
  </si>
  <si>
    <t>2024-01-01</t>
  </si>
  <si>
    <t>ORD0109</t>
  </si>
  <si>
    <t>ORD0110</t>
  </si>
  <si>
    <t>2024-07-13</t>
  </si>
  <si>
    <t>ORD0111</t>
  </si>
  <si>
    <t>2024-05-02</t>
  </si>
  <si>
    <t>ORD0112</t>
  </si>
  <si>
    <t>2024-10-05</t>
  </si>
  <si>
    <t>ORD0113</t>
  </si>
  <si>
    <t>2024-09-19</t>
  </si>
  <si>
    <t>ORD0114</t>
  </si>
  <si>
    <t>2024-02-10</t>
  </si>
  <si>
    <t>ORD0115</t>
  </si>
  <si>
    <t>2024-12-23</t>
  </si>
  <si>
    <t>ORD0116</t>
  </si>
  <si>
    <t>2024-07-02</t>
  </si>
  <si>
    <t>ORD0117</t>
  </si>
  <si>
    <t>2024-01-09</t>
  </si>
  <si>
    <t>ORD0118</t>
  </si>
  <si>
    <t>2024-01-08</t>
  </si>
  <si>
    <t>ORD0119</t>
  </si>
  <si>
    <t>ORD0120</t>
  </si>
  <si>
    <t>2024-10-13</t>
  </si>
  <si>
    <t>ORD0121</t>
  </si>
  <si>
    <t>2024-12-19</t>
  </si>
  <si>
    <t>ORD0122</t>
  </si>
  <si>
    <t>2024-07-01</t>
  </si>
  <si>
    <t>ORD0123</t>
  </si>
  <si>
    <t>2024-09-17</t>
  </si>
  <si>
    <t>ORD0124</t>
  </si>
  <si>
    <t>ORD0125</t>
  </si>
  <si>
    <t>2024-03-17</t>
  </si>
  <si>
    <t>ORD0126</t>
  </si>
  <si>
    <t>2024-01-28</t>
  </si>
  <si>
    <t>ORD0127</t>
  </si>
  <si>
    <t>2024-05-28</t>
  </si>
  <si>
    <t>ORD0128</t>
  </si>
  <si>
    <t>2024-07-09</t>
  </si>
  <si>
    <t>ORD0129</t>
  </si>
  <si>
    <t>ORD0130</t>
  </si>
  <si>
    <t>ORD0131</t>
  </si>
  <si>
    <t>2024-08-31</t>
  </si>
  <si>
    <t>ORD0132</t>
  </si>
  <si>
    <t>2024-04-07</t>
  </si>
  <si>
    <t>ORD0133</t>
  </si>
  <si>
    <t>2024-08-08</t>
  </si>
  <si>
    <t>ORD0134</t>
  </si>
  <si>
    <t>2024-10-11</t>
  </si>
  <si>
    <t>ORD0135</t>
  </si>
  <si>
    <t>ORD0136</t>
  </si>
  <si>
    <t>2024-05-25</t>
  </si>
  <si>
    <t>ORD0137</t>
  </si>
  <si>
    <t>2024-07-29</t>
  </si>
  <si>
    <t>ORD0138</t>
  </si>
  <si>
    <t>ORD0139</t>
  </si>
  <si>
    <t>2024-04-30</t>
  </si>
  <si>
    <t>ORD0140</t>
  </si>
  <si>
    <t>2024-06-18</t>
  </si>
  <si>
    <t>ORD0141</t>
  </si>
  <si>
    <t>2024-05-01</t>
  </si>
  <si>
    <t>ORD0142</t>
  </si>
  <si>
    <t>2024-02-26</t>
  </si>
  <si>
    <t>ORD0143</t>
  </si>
  <si>
    <t>2024-08-12</t>
  </si>
  <si>
    <t>ORD0144</t>
  </si>
  <si>
    <t>2024-10-10</t>
  </si>
  <si>
    <t>ORD0145</t>
  </si>
  <si>
    <t>2024-11-25</t>
  </si>
  <si>
    <t>ORD0146</t>
  </si>
  <si>
    <t>2024-02-23</t>
  </si>
  <si>
    <t>ORD0147</t>
  </si>
  <si>
    <t>2024-09-23</t>
  </si>
  <si>
    <t>ORD0148</t>
  </si>
  <si>
    <t>ORD0149</t>
  </si>
  <si>
    <t>ORD0150</t>
  </si>
  <si>
    <t>ORD0151</t>
  </si>
  <si>
    <t>2024-06-08</t>
  </si>
  <si>
    <t>ORD0152</t>
  </si>
  <si>
    <t>ORD0153</t>
  </si>
  <si>
    <t>ORD0154</t>
  </si>
  <si>
    <t>ORD0155</t>
  </si>
  <si>
    <t>ORD0156</t>
  </si>
  <si>
    <t>ORD0157</t>
  </si>
  <si>
    <t>2024-09-04</t>
  </si>
  <si>
    <t>ORD0158</t>
  </si>
  <si>
    <t>2024-03-04</t>
  </si>
  <si>
    <t>ORD0159</t>
  </si>
  <si>
    <t>2024-10-21</t>
  </si>
  <si>
    <t>ORD0160</t>
  </si>
  <si>
    <t>ORD0161</t>
  </si>
  <si>
    <t>2024-02-01</t>
  </si>
  <si>
    <t>ORD0162</t>
  </si>
  <si>
    <t>2024-05-10</t>
  </si>
  <si>
    <t>ORD0163</t>
  </si>
  <si>
    <t>ORD0164</t>
  </si>
  <si>
    <t>2024-11-20</t>
  </si>
  <si>
    <t>ORD0165</t>
  </si>
  <si>
    <t>2024-11-26</t>
  </si>
  <si>
    <t>ORD0166</t>
  </si>
  <si>
    <t>ORD0167</t>
  </si>
  <si>
    <t>ORD0168</t>
  </si>
  <si>
    <t>2024-04-10</t>
  </si>
  <si>
    <t>ORD0169</t>
  </si>
  <si>
    <t>2024-05-22</t>
  </si>
  <si>
    <t>ORD0170</t>
  </si>
  <si>
    <t>2024-11-04</t>
  </si>
  <si>
    <t>ORD0171</t>
  </si>
  <si>
    <t>2024-02-28</t>
  </si>
  <si>
    <t>ORD0172</t>
  </si>
  <si>
    <t>ORD0173</t>
  </si>
  <si>
    <t>2024-05-16</t>
  </si>
  <si>
    <t>ORD0174</t>
  </si>
  <si>
    <t>2024-07-23</t>
  </si>
  <si>
    <t>ORD0175</t>
  </si>
  <si>
    <t>ORD0176</t>
  </si>
  <si>
    <t>ORD0177</t>
  </si>
  <si>
    <t>ORD0178</t>
  </si>
  <si>
    <t>ORD0179</t>
  </si>
  <si>
    <t>2024-07-10</t>
  </si>
  <si>
    <t>ORD0180</t>
  </si>
  <si>
    <t>ORD0181</t>
  </si>
  <si>
    <t>2024-08-18</t>
  </si>
  <si>
    <t>ORD0182</t>
  </si>
  <si>
    <t>2024-09-06</t>
  </si>
  <si>
    <t>ORD0183</t>
  </si>
  <si>
    <t>2024-07-08</t>
  </si>
  <si>
    <t>ORD0184</t>
  </si>
  <si>
    <t>2024-03-16</t>
  </si>
  <si>
    <t>ORD0185</t>
  </si>
  <si>
    <t>2024-01-13</t>
  </si>
  <si>
    <t>ORD0186</t>
  </si>
  <si>
    <t>ORD0187</t>
  </si>
  <si>
    <t>ORD0188</t>
  </si>
  <si>
    <t>2024-09-10</t>
  </si>
  <si>
    <t>ORD0189</t>
  </si>
  <si>
    <t>2024-05-06</t>
  </si>
  <si>
    <t>ORD0190</t>
  </si>
  <si>
    <t>ORD0191</t>
  </si>
  <si>
    <t>2024-05-03</t>
  </si>
  <si>
    <t>ORD0192</t>
  </si>
  <si>
    <t>ORD0193</t>
  </si>
  <si>
    <t>2024-02-21</t>
  </si>
  <si>
    <t>ORD0194</t>
  </si>
  <si>
    <t>2024-01-06</t>
  </si>
  <si>
    <t>ORD0195</t>
  </si>
  <si>
    <t>ORD0196</t>
  </si>
  <si>
    <t>2024-10-29</t>
  </si>
  <si>
    <t>ORD0197</t>
  </si>
  <si>
    <t>ORD0198</t>
  </si>
  <si>
    <t>ORD0199</t>
  </si>
  <si>
    <t>2024-08-06</t>
  </si>
  <si>
    <t>ORD0200</t>
  </si>
  <si>
    <t>ORD0201</t>
  </si>
  <si>
    <t>2024-07-27</t>
  </si>
  <si>
    <t>ORD0202</t>
  </si>
  <si>
    <t>2024-03-06</t>
  </si>
  <si>
    <t>ORD0203</t>
  </si>
  <si>
    <t>ORD0204</t>
  </si>
  <si>
    <t>2024-03-22</t>
  </si>
  <si>
    <t>ORD0205</t>
  </si>
  <si>
    <t>2024-10-15</t>
  </si>
  <si>
    <t>ORD0206</t>
  </si>
  <si>
    <t>ORD0207</t>
  </si>
  <si>
    <t>2024-04-27</t>
  </si>
  <si>
    <t>ORD0208</t>
  </si>
  <si>
    <t>2024-11-06</t>
  </si>
  <si>
    <t>ORD0209</t>
  </si>
  <si>
    <t>2024-02-05</t>
  </si>
  <si>
    <t>ORD0210</t>
  </si>
  <si>
    <t>2024-04-29</t>
  </si>
  <si>
    <t>ORD0211</t>
  </si>
  <si>
    <t>2024-07-28</t>
  </si>
  <si>
    <t>ORD0212</t>
  </si>
  <si>
    <t>ORD0213</t>
  </si>
  <si>
    <t>ORD0214</t>
  </si>
  <si>
    <t>2024-03-28</t>
  </si>
  <si>
    <t>ORD0215</t>
  </si>
  <si>
    <t>ORD0216</t>
  </si>
  <si>
    <t>2024-12-01</t>
  </si>
  <si>
    <t>ORD0217</t>
  </si>
  <si>
    <t>2024-03-27</t>
  </si>
  <si>
    <t>ORD0218</t>
  </si>
  <si>
    <t>2024-11-28</t>
  </si>
  <si>
    <t>ORD0219</t>
  </si>
  <si>
    <t>2024-04-08</t>
  </si>
  <si>
    <t>ORD0220</t>
  </si>
  <si>
    <t>2024-12-13</t>
  </si>
  <si>
    <t>ORD0221</t>
  </si>
  <si>
    <t>ORD0222</t>
  </si>
  <si>
    <t>ORD0223</t>
  </si>
  <si>
    <t>ORD0224</t>
  </si>
  <si>
    <t>ORD0225</t>
  </si>
  <si>
    <t>2024-02-19</t>
  </si>
  <si>
    <t>ORD0226</t>
  </si>
  <si>
    <t>ORD0227</t>
  </si>
  <si>
    <t>ORD0228</t>
  </si>
  <si>
    <t>2024-08-22</t>
  </si>
  <si>
    <t>ORD0229</t>
  </si>
  <si>
    <t>ORD0230</t>
  </si>
  <si>
    <t>ORD0231</t>
  </si>
  <si>
    <t>ORD0232</t>
  </si>
  <si>
    <t>ORD0233</t>
  </si>
  <si>
    <t>ORD0234</t>
  </si>
  <si>
    <t>ORD0235</t>
  </si>
  <si>
    <t>ORD0236</t>
  </si>
  <si>
    <t>ORD0237</t>
  </si>
  <si>
    <t>2024-04-18</t>
  </si>
  <si>
    <t>ORD0238</t>
  </si>
  <si>
    <t>ORD0239</t>
  </si>
  <si>
    <t>ORD0240</t>
  </si>
  <si>
    <t>ORD0241</t>
  </si>
  <si>
    <t>ORD0242</t>
  </si>
  <si>
    <t>ORD0243</t>
  </si>
  <si>
    <t>2024-12-04</t>
  </si>
  <si>
    <t>ORD0244</t>
  </si>
  <si>
    <t>ORD0245</t>
  </si>
  <si>
    <t>ORD0246</t>
  </si>
  <si>
    <t>ORD0247</t>
  </si>
  <si>
    <t>2024-01-26</t>
  </si>
  <si>
    <t>ORD0248</t>
  </si>
  <si>
    <t>ORD0249</t>
  </si>
  <si>
    <t>2024-10-23</t>
  </si>
  <si>
    <t>ORD0250</t>
  </si>
  <si>
    <t>ORD0251</t>
  </si>
  <si>
    <t>2024-02-09</t>
  </si>
  <si>
    <t>ORD0252</t>
  </si>
  <si>
    <t>ORD0253</t>
  </si>
  <si>
    <t>ORD0254</t>
  </si>
  <si>
    <t>ORD0255</t>
  </si>
  <si>
    <t>2024-04-04</t>
  </si>
  <si>
    <t>ORD0256</t>
  </si>
  <si>
    <t>2024-02-27</t>
  </si>
  <si>
    <t>ORD0257</t>
  </si>
  <si>
    <t>2024-01-27</t>
  </si>
  <si>
    <t>ORD0258</t>
  </si>
  <si>
    <t>ORD0259</t>
  </si>
  <si>
    <t>2024-06-11</t>
  </si>
  <si>
    <t>ORD0260</t>
  </si>
  <si>
    <t>ORD0261</t>
  </si>
  <si>
    <t>2024-05-26</t>
  </si>
  <si>
    <t>ORD0262</t>
  </si>
  <si>
    <t>ORD0263</t>
  </si>
  <si>
    <t>2024-05-27</t>
  </si>
  <si>
    <t>ORD0264</t>
  </si>
  <si>
    <t>ORD0265</t>
  </si>
  <si>
    <t>ORD0266</t>
  </si>
  <si>
    <t>2024-12-12</t>
  </si>
  <si>
    <t>ORD0267</t>
  </si>
  <si>
    <t>ORD0268</t>
  </si>
  <si>
    <t>ORD0269</t>
  </si>
  <si>
    <t>ORD0270</t>
  </si>
  <si>
    <t>2024-06-17</t>
  </si>
  <si>
    <t>ORD0271</t>
  </si>
  <si>
    <t>ORD0272</t>
  </si>
  <si>
    <t>ORD0273</t>
  </si>
  <si>
    <t>ORD0274</t>
  </si>
  <si>
    <t>ORD0275</t>
  </si>
  <si>
    <t>2024-01-15</t>
  </si>
  <si>
    <t>ORD0276</t>
  </si>
  <si>
    <t>ORD0277</t>
  </si>
  <si>
    <t>ORD0278</t>
  </si>
  <si>
    <t>ORD0279</t>
  </si>
  <si>
    <t>ORD0280</t>
  </si>
  <si>
    <t>2024-02-11</t>
  </si>
  <si>
    <t>ORD0281</t>
  </si>
  <si>
    <t>ORD0282</t>
  </si>
  <si>
    <t>2024-07-22</t>
  </si>
  <si>
    <t>ORD0283</t>
  </si>
  <si>
    <t>ORD0284</t>
  </si>
  <si>
    <t>2024-08-29</t>
  </si>
  <si>
    <t>ORD0285</t>
  </si>
  <si>
    <t>ORD0286</t>
  </si>
  <si>
    <t>ORD0287</t>
  </si>
  <si>
    <t>ORD0288</t>
  </si>
  <si>
    <t>ORD0289</t>
  </si>
  <si>
    <t>2024-11-27</t>
  </si>
  <si>
    <t>ORD0290</t>
  </si>
  <si>
    <t>ORD0291</t>
  </si>
  <si>
    <t>ORD0292</t>
  </si>
  <si>
    <t>ORD0293</t>
  </si>
  <si>
    <t>ORD0294</t>
  </si>
  <si>
    <t>2024-08-11</t>
  </si>
  <si>
    <t>ORD0295</t>
  </si>
  <si>
    <t>2024-03-11</t>
  </si>
  <si>
    <t>ORD0296</t>
  </si>
  <si>
    <t>ORD0297</t>
  </si>
  <si>
    <t>2024-01-30</t>
  </si>
  <si>
    <t>ORD0298</t>
  </si>
  <si>
    <t>2024-11-14</t>
  </si>
  <si>
    <t>ORD0299</t>
  </si>
  <si>
    <t>ORD0300</t>
  </si>
  <si>
    <t>2024-09-27</t>
  </si>
  <si>
    <t>Total Revenue</t>
  </si>
  <si>
    <t>Total Profit</t>
  </si>
  <si>
    <t>Average Order Value</t>
  </si>
  <si>
    <t>Row Labels</t>
  </si>
  <si>
    <t>Grand Total</t>
  </si>
  <si>
    <t>Sum of Revenue</t>
  </si>
  <si>
    <t>Month</t>
  </si>
  <si>
    <t xml:space="preserve">Total Revenue	</t>
  </si>
  <si>
    <t>Profit Margin</t>
  </si>
  <si>
    <t>Jan</t>
  </si>
  <si>
    <t>Feb</t>
  </si>
  <si>
    <t>Mar</t>
  </si>
  <si>
    <t>Apr</t>
  </si>
  <si>
    <t>May</t>
  </si>
  <si>
    <t>Jun</t>
  </si>
  <si>
    <t>Jul</t>
  </si>
  <si>
    <t>Aug</t>
  </si>
  <si>
    <t>Sep</t>
  </si>
  <si>
    <t>Oct</t>
  </si>
  <si>
    <t>Nov</t>
  </si>
  <si>
    <t>Dec</t>
  </si>
  <si>
    <t>Sales Performance Dashboard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</si>
</sst>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yyyy\-mm\-dd;@"/>
    <numFmt numFmtId="165" formatCode="&quot;$&quot;#,##0.00"/>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20"/>
      <color theme="2" tint="-0.74999237037263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s>
  <borders count="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7">
    <xf numFmtId="0" fontId="0" fillId="0" borderId="0" xfId="0"/>
    <xf numFmtId="164" fontId="0" fillId="0" borderId="0" xfId="0" applyNumberFormat="1"/>
    <xf numFmtId="2" fontId="0" fillId="0" borderId="0" xfId="0" applyNumberFormat="1"/>
    <xf numFmtId="165" fontId="0" fillId="0" borderId="0" xfId="0" applyNumberFormat="1"/>
    <xf numFmtId="0" fontId="1" fillId="0" borderId="0" xfId="0" applyFont="1"/>
    <xf numFmtId="0" fontId="0" fillId="0" borderId="0" xfId="0" pivotButton="1"/>
    <xf numFmtId="0" fontId="0" fillId="0" borderId="0" xfId="0" applyAlignment="1">
      <alignment horizontal="left"/>
    </xf>
    <xf numFmtId="9" fontId="0" fillId="0" borderId="0" xfId="2" applyFont="1"/>
    <xf numFmtId="0" fontId="0" fillId="2" borderId="1" xfId="0" applyFill="1" applyBorder="1" applyAlignment="1">
      <alignment wrapText="1"/>
    </xf>
    <xf numFmtId="44" fontId="0" fillId="2" borderId="2" xfId="1" applyFont="1" applyFill="1" applyBorder="1"/>
    <xf numFmtId="0" fontId="0" fillId="2" borderId="3" xfId="0" applyFill="1" applyBorder="1"/>
    <xf numFmtId="44" fontId="0" fillId="2" borderId="4" xfId="1" applyFont="1" applyFill="1" applyBorder="1"/>
    <xf numFmtId="0" fontId="0" fillId="2" borderId="5" xfId="0" applyFill="1" applyBorder="1"/>
    <xf numFmtId="9" fontId="0" fillId="2" borderId="6" xfId="0" applyNumberFormat="1" applyFill="1" applyBorder="1"/>
    <xf numFmtId="0" fontId="0" fillId="3" borderId="0" xfId="0" applyFill="1"/>
    <xf numFmtId="0" fontId="3" fillId="3" borderId="0" xfId="0" applyFont="1" applyFill="1"/>
    <xf numFmtId="0" fontId="0" fillId="3" borderId="0" xfId="0" applyFill="1" applyAlignment="1">
      <alignment vertical="center"/>
    </xf>
  </cellXfs>
  <cellStyles count="3">
    <cellStyle name="Currency" xfId="1" builtinId="4"/>
    <cellStyle name="Normal" xfId="0" builtinId="0"/>
    <cellStyle name="Percent" xfId="2" builtinId="5"/>
  </cellStyles>
  <dxfs count="11">
    <dxf>
      <numFmt numFmtId="165" formatCode="&quot;$&quot;#,##0.00"/>
    </dxf>
    <dxf>
      <numFmt numFmtId="165" formatCode="&quot;$&quot;#,##0.00"/>
    </dxf>
    <dxf>
      <numFmt numFmtId="165" formatCode="&quot;$&quot;#,##0.00"/>
    </dxf>
    <dxf>
      <numFmt numFmtId="165" formatCode="&quot;$&quot;#,##0.00"/>
    </dxf>
    <dxf>
      <numFmt numFmtId="2" formatCode="0.00"/>
    </dxf>
    <dxf>
      <numFmt numFmtId="164" formatCode="yyyy\-mm\-dd;@"/>
    </dxf>
    <dxf>
      <numFmt numFmtId="165" formatCode="&quot;$&quot;#,##0.00"/>
    </dxf>
    <dxf>
      <numFmt numFmtId="165" formatCode="&quot;$&quot;#,##0.00"/>
    </dxf>
    <dxf>
      <numFmt numFmtId="165" formatCode="&quot;$&quot;#,##0.00"/>
    </dxf>
    <dxf>
      <numFmt numFmtId="2" formatCode="0.00"/>
    </dxf>
    <dxf>
      <numFmt numFmtId="164"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[Sales_Performance_Raw_Data (version 1).xlsx]Analysis!Region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rPr>
              <a:t>Region Performance</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c:f>
              <c:strCache>
                <c:ptCount val="1"/>
                <c:pt idx="0">
                  <c:v>Total</c:v>
                </c:pt>
              </c:strCache>
            </c:strRef>
          </c:tx>
          <c:spPr>
            <a:solidFill>
              <a:schemeClr val="accent1"/>
            </a:solidFill>
            <a:ln>
              <a:noFill/>
            </a:ln>
            <a:effectLst/>
          </c:spPr>
          <c:invertIfNegative val="0"/>
          <c:cat>
            <c:strRef>
              <c:f>Analysis!$A$10:$A$14</c:f>
              <c:strCache>
                <c:ptCount val="4"/>
                <c:pt idx="0">
                  <c:v>East</c:v>
                </c:pt>
                <c:pt idx="1">
                  <c:v>North</c:v>
                </c:pt>
                <c:pt idx="2">
                  <c:v>South</c:v>
                </c:pt>
                <c:pt idx="3">
                  <c:v>West</c:v>
                </c:pt>
              </c:strCache>
            </c:strRef>
          </c:cat>
          <c:val>
            <c:numRef>
              <c:f>Analysis!$B$10:$B$14</c:f>
              <c:numCache>
                <c:formatCode>"$"#,##0.00</c:formatCode>
                <c:ptCount val="4"/>
                <c:pt idx="0">
                  <c:v>135653</c:v>
                </c:pt>
                <c:pt idx="1">
                  <c:v>183496</c:v>
                </c:pt>
                <c:pt idx="2">
                  <c:v>121347</c:v>
                </c:pt>
                <c:pt idx="3">
                  <c:v>114731</c:v>
                </c:pt>
              </c:numCache>
            </c:numRef>
          </c:val>
          <c:extLst>
            <c:ext xmlns:c16="http://schemas.microsoft.com/office/drawing/2014/chart" uri="{C3380CC4-5D6E-409C-BE32-E72D297353CC}">
              <c16:uniqueId val="{00000000-1A18-408C-90F0-BF5778B9A4D7}"/>
            </c:ext>
          </c:extLst>
        </c:ser>
        <c:dLbls>
          <c:showLegendKey val="0"/>
          <c:showVal val="0"/>
          <c:showCatName val="0"/>
          <c:showSerName val="0"/>
          <c:showPercent val="0"/>
          <c:showBubbleSize val="0"/>
        </c:dLbls>
        <c:gapWidth val="219"/>
        <c:overlap val="-27"/>
        <c:axId val="95178655"/>
        <c:axId val="95176735"/>
      </c:barChart>
      <c:catAx>
        <c:axId val="9517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76735"/>
        <c:crosses val="autoZero"/>
        <c:auto val="1"/>
        <c:lblAlgn val="ctr"/>
        <c:lblOffset val="100"/>
        <c:noMultiLvlLbl val="0"/>
      </c:catAx>
      <c:valAx>
        <c:axId val="95176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7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[Sales_Performance_Raw_Data (version 1).xlsx]Analysis!Product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rPr>
              <a:t>Product Performance Chart</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Analysis!$B$16</c:f>
              <c:strCache>
                <c:ptCount val="1"/>
                <c:pt idx="0">
                  <c:v>Total</c:v>
                </c:pt>
              </c:strCache>
            </c:strRef>
          </c:tx>
          <c:spPr>
            <a:solidFill>
              <a:schemeClr val="accent6">
                <a:lumMod val="75000"/>
              </a:schemeClr>
            </a:solidFill>
            <a:ln>
              <a:noFill/>
            </a:ln>
            <a:effectLst/>
          </c:spPr>
          <c:invertIfNegative val="0"/>
          <c:cat>
            <c:strRef>
              <c:f>Analysis!$A$17:$A$23</c:f>
              <c:strCache>
                <c:ptCount val="6"/>
                <c:pt idx="0">
                  <c:v>Laptop</c:v>
                </c:pt>
                <c:pt idx="1">
                  <c:v>Mouse</c:v>
                </c:pt>
                <c:pt idx="2">
                  <c:v>Keyboard</c:v>
                </c:pt>
                <c:pt idx="3">
                  <c:v>Phone</c:v>
                </c:pt>
                <c:pt idx="4">
                  <c:v>Monitor</c:v>
                </c:pt>
                <c:pt idx="5">
                  <c:v>Headphones</c:v>
                </c:pt>
              </c:strCache>
            </c:strRef>
          </c:cat>
          <c:val>
            <c:numRef>
              <c:f>Analysis!$B$17:$B$23</c:f>
              <c:numCache>
                <c:formatCode>"$"#,##0.00</c:formatCode>
                <c:ptCount val="6"/>
                <c:pt idx="0">
                  <c:v>125095</c:v>
                </c:pt>
                <c:pt idx="1">
                  <c:v>103159</c:v>
                </c:pt>
                <c:pt idx="2">
                  <c:v>85601</c:v>
                </c:pt>
                <c:pt idx="3">
                  <c:v>84864</c:v>
                </c:pt>
                <c:pt idx="4">
                  <c:v>82957</c:v>
                </c:pt>
                <c:pt idx="5">
                  <c:v>73551</c:v>
                </c:pt>
              </c:numCache>
            </c:numRef>
          </c:val>
          <c:extLst>
            <c:ext xmlns:c16="http://schemas.microsoft.com/office/drawing/2014/chart" uri="{C3380CC4-5D6E-409C-BE32-E72D297353CC}">
              <c16:uniqueId val="{00000000-0E5F-4F0F-A055-5F5B918A2245}"/>
            </c:ext>
          </c:extLst>
        </c:ser>
        <c:dLbls>
          <c:showLegendKey val="0"/>
          <c:showVal val="0"/>
          <c:showCatName val="0"/>
          <c:showSerName val="0"/>
          <c:showPercent val="0"/>
          <c:showBubbleSize val="0"/>
        </c:dLbls>
        <c:gapWidth val="219"/>
        <c:overlap val="-27"/>
        <c:axId val="95290399"/>
        <c:axId val="95290879"/>
      </c:barChart>
      <c:catAx>
        <c:axId val="9529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90879"/>
        <c:crosses val="autoZero"/>
        <c:auto val="1"/>
        <c:lblAlgn val="ctr"/>
        <c:lblOffset val="100"/>
        <c:noMultiLvlLbl val="0"/>
      </c:catAx>
      <c:valAx>
        <c:axId val="952908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9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[Sales_Performance_Raw_Data (version 1).xlsx]Analysis!Region</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101-40DA-92A7-67EB4D6ACBA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101-40DA-92A7-67EB4D6ACBA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101-40DA-92A7-67EB4D6ACBA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101-40DA-92A7-67EB4D6ACBA2}"/>
              </c:ext>
            </c:extLst>
          </c:dPt>
          <c:cat>
            <c:strRef>
              <c:f>Analysis!$A$10:$A$14</c:f>
              <c:strCache>
                <c:ptCount val="4"/>
                <c:pt idx="0">
                  <c:v>East</c:v>
                </c:pt>
                <c:pt idx="1">
                  <c:v>North</c:v>
                </c:pt>
                <c:pt idx="2">
                  <c:v>South</c:v>
                </c:pt>
                <c:pt idx="3">
                  <c:v>West</c:v>
                </c:pt>
              </c:strCache>
            </c:strRef>
          </c:cat>
          <c:val>
            <c:numRef>
              <c:f>Analysis!$B$10:$B$14</c:f>
              <c:numCache>
                <c:formatCode>"$"#,##0.00</c:formatCode>
                <c:ptCount val="4"/>
                <c:pt idx="0">
                  <c:v>135653</c:v>
                </c:pt>
                <c:pt idx="1">
                  <c:v>183496</c:v>
                </c:pt>
                <c:pt idx="2">
                  <c:v>121347</c:v>
                </c:pt>
                <c:pt idx="3">
                  <c:v>114731</c:v>
                </c:pt>
              </c:numCache>
            </c:numRef>
          </c:val>
          <c:extLst>
            <c:ext xmlns:c16="http://schemas.microsoft.com/office/drawing/2014/chart" uri="{C3380CC4-5D6E-409C-BE32-E72D297353CC}">
              <c16:uniqueId val="{00000000-E54C-4022-959F-5B4F5A154D9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[Sales_Performance_Raw_Data (version 1).xlsx]Analysis!Month</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rPr>
              <a:t>Monthly Revenue Trend Chart</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C00000"/>
            </a:solidFill>
            <a:round/>
          </a:ln>
          <a:effectLst/>
        </c:spPr>
        <c:marker>
          <c:symbol val="circle"/>
          <c:size val="5"/>
          <c:spPr>
            <a:solidFill>
              <a:schemeClr val="accent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Analysis!$B$40</c:f>
              <c:strCache>
                <c:ptCount val="1"/>
                <c:pt idx="0">
                  <c:v>Total</c:v>
                </c:pt>
              </c:strCache>
            </c:strRef>
          </c:tx>
          <c:spPr>
            <a:ln w="28575" cap="rnd">
              <a:solidFill>
                <a:srgbClr val="C00000"/>
              </a:solidFill>
              <a:round/>
            </a:ln>
            <a:effectLst/>
          </c:spPr>
          <c:marker>
            <c:symbol val="circle"/>
            <c:size val="5"/>
            <c:spPr>
              <a:solidFill>
                <a:schemeClr val="accent1"/>
              </a:solidFill>
              <a:ln w="9525">
                <a:solidFill>
                  <a:srgbClr val="C00000"/>
                </a:solidFill>
              </a:ln>
              <a:effectLst/>
            </c:spPr>
          </c:marker>
          <c:cat>
            <c:strRef>
              <c:f>Analysis!$A$41:$A$53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Analysis!$B$41:$B$53</c:f>
              <c:numCache>
                <c:formatCode>"$"#,##0.00</c:formatCode>
                <c:ptCount val="12"/>
                <c:pt idx="0">
                  <c:v>62414</c:v>
                </c:pt>
                <c:pt idx="1">
                  <c:v>43972</c:v>
                </c:pt>
                <c:pt idx="2">
                  <c:v>44703</c:v>
                </c:pt>
                <c:pt idx="3">
                  <c:v>42940</c:v>
                </c:pt>
                <c:pt idx="4">
                  <c:v>57070</c:v>
                </c:pt>
                <c:pt idx="5">
                  <c:v>46267</c:v>
                </c:pt>
                <c:pt idx="6">
                  <c:v>52399</c:v>
                </c:pt>
                <c:pt idx="7">
                  <c:v>41691</c:v>
                </c:pt>
                <c:pt idx="8">
                  <c:v>32729</c:v>
                </c:pt>
                <c:pt idx="9">
                  <c:v>35227</c:v>
                </c:pt>
                <c:pt idx="10">
                  <c:v>47702</c:v>
                </c:pt>
                <c:pt idx="11">
                  <c:v>48113</c:v>
                </c:pt>
              </c:numCache>
            </c:numRef>
          </c:val>
          <c:smooth val="0"/>
          <c:extLst>
            <c:ext xmlns:c16="http://schemas.microsoft.com/office/drawing/2014/chart" uri="{C3380CC4-5D6E-409C-BE32-E72D297353CC}">
              <c16:uniqueId val="{00000000-2A87-4D97-B287-45A885A3525E}"/>
            </c:ext>
          </c:extLst>
        </c:ser>
        <c:dLbls>
          <c:showLegendKey val="0"/>
          <c:showVal val="0"/>
          <c:showCatName val="0"/>
          <c:showSerName val="0"/>
          <c:showPercent val="0"/>
          <c:showBubbleSize val="0"/>
        </c:dLbls>
        <c:marker val="1"/>
        <c:smooth val="0"/>
        <c:axId val="1257954271"/>
        <c:axId val="1257959071"/>
      </c:lineChart>
      <c:catAx>
        <c:axId val="125795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59071"/>
        <c:crosses val="autoZero"/>
        <c:auto val="1"/>
        <c:lblAlgn val="ctr"/>
        <c:lblOffset val="100"/>
        <c:noMultiLvlLbl val="0"/>
      </c:catAx>
      <c:valAx>
        <c:axId val="1257959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5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[Sales_Performance_Raw_Data (version 1).xlsx]Analysis!Region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rPr>
              <a:t>Region Performance</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c:f>
              <c:strCache>
                <c:ptCount val="1"/>
                <c:pt idx="0">
                  <c:v>Total</c:v>
                </c:pt>
              </c:strCache>
            </c:strRef>
          </c:tx>
          <c:spPr>
            <a:solidFill>
              <a:schemeClr val="accent1"/>
            </a:solidFill>
            <a:ln>
              <a:noFill/>
            </a:ln>
            <a:effectLst/>
          </c:spPr>
          <c:invertIfNegative val="0"/>
          <c:cat>
            <c:strRef>
              <c:f>Analysis!$A$10:$A$14</c:f>
              <c:strCache>
                <c:ptCount val="4"/>
                <c:pt idx="0">
                  <c:v>East</c:v>
                </c:pt>
                <c:pt idx="1">
                  <c:v>North</c:v>
                </c:pt>
                <c:pt idx="2">
                  <c:v>South</c:v>
                </c:pt>
                <c:pt idx="3">
                  <c:v>West</c:v>
                </c:pt>
              </c:strCache>
            </c:strRef>
          </c:cat>
          <c:val>
            <c:numRef>
              <c:f>Analysis!$B$10:$B$14</c:f>
              <c:numCache>
                <c:formatCode>"$"#,##0.00</c:formatCode>
                <c:ptCount val="4"/>
                <c:pt idx="0">
                  <c:v>135653</c:v>
                </c:pt>
                <c:pt idx="1">
                  <c:v>183496</c:v>
                </c:pt>
                <c:pt idx="2">
                  <c:v>121347</c:v>
                </c:pt>
                <c:pt idx="3">
                  <c:v>114731</c:v>
                </c:pt>
              </c:numCache>
            </c:numRef>
          </c:val>
          <c:extLst>
            <c:ext xmlns:c16="http://schemas.microsoft.com/office/drawing/2014/chart" uri="{C3380CC4-5D6E-409C-BE32-E72D297353CC}">
              <c16:uniqueId val="{00000000-D388-4417-9FEA-3D0BEF0CFEEC}"/>
            </c:ext>
          </c:extLst>
        </c:ser>
        <c:dLbls>
          <c:showLegendKey val="0"/>
          <c:showVal val="0"/>
          <c:showCatName val="0"/>
          <c:showSerName val="0"/>
          <c:showPercent val="0"/>
          <c:showBubbleSize val="0"/>
        </c:dLbls>
        <c:gapWidth val="219"/>
        <c:overlap val="-27"/>
        <c:axId val="95178655"/>
        <c:axId val="95176735"/>
      </c:barChart>
      <c:catAx>
        <c:axId val="9517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76735"/>
        <c:crosses val="autoZero"/>
        <c:auto val="1"/>
        <c:lblAlgn val="ctr"/>
        <c:lblOffset val="100"/>
        <c:noMultiLvlLbl val="0"/>
      </c:catAx>
      <c:valAx>
        <c:axId val="951767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7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[Sales_Performance_Raw_Data (version 1).xlsx]Analysis!Product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rPr>
              <a:t>Product Performance Chart</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Analysis!$B$16</c:f>
              <c:strCache>
                <c:ptCount val="1"/>
                <c:pt idx="0">
                  <c:v>Total</c:v>
                </c:pt>
              </c:strCache>
            </c:strRef>
          </c:tx>
          <c:spPr>
            <a:solidFill>
              <a:schemeClr val="accent6">
                <a:lumMod val="75000"/>
              </a:schemeClr>
            </a:solidFill>
            <a:ln>
              <a:noFill/>
            </a:ln>
            <a:effectLst/>
          </c:spPr>
          <c:invertIfNegative val="0"/>
          <c:cat>
            <c:strRef>
              <c:f>Analysis!$A$17:$A$23</c:f>
              <c:strCache>
                <c:ptCount val="6"/>
                <c:pt idx="0">
                  <c:v>Laptop</c:v>
                </c:pt>
                <c:pt idx="1">
                  <c:v>Mouse</c:v>
                </c:pt>
                <c:pt idx="2">
                  <c:v>Keyboard</c:v>
                </c:pt>
                <c:pt idx="3">
                  <c:v>Phone</c:v>
                </c:pt>
                <c:pt idx="4">
                  <c:v>Monitor</c:v>
                </c:pt>
                <c:pt idx="5">
                  <c:v>Headphones</c:v>
                </c:pt>
              </c:strCache>
            </c:strRef>
          </c:cat>
          <c:val>
            <c:numRef>
              <c:f>Analysis!$B$17:$B$23</c:f>
              <c:numCache>
                <c:formatCode>"$"#,##0.00</c:formatCode>
                <c:ptCount val="6"/>
                <c:pt idx="0">
                  <c:v>125095</c:v>
                </c:pt>
                <c:pt idx="1">
                  <c:v>103159</c:v>
                </c:pt>
                <c:pt idx="2">
                  <c:v>85601</c:v>
                </c:pt>
                <c:pt idx="3">
                  <c:v>84864</c:v>
                </c:pt>
                <c:pt idx="4">
                  <c:v>82957</c:v>
                </c:pt>
                <c:pt idx="5">
                  <c:v>73551</c:v>
                </c:pt>
              </c:numCache>
            </c:numRef>
          </c:val>
          <c:extLst>
            <c:ext xmlns:c16="http://schemas.microsoft.com/office/drawing/2014/chart" uri="{C3380CC4-5D6E-409C-BE32-E72D297353CC}">
              <c16:uniqueId val="{00000000-E4C2-481A-9E22-F9EAB0EC6BB1}"/>
            </c:ext>
          </c:extLst>
        </c:ser>
        <c:dLbls>
          <c:showLegendKey val="0"/>
          <c:showVal val="0"/>
          <c:showCatName val="0"/>
          <c:showSerName val="0"/>
          <c:showPercent val="0"/>
          <c:showBubbleSize val="0"/>
        </c:dLbls>
        <c:gapWidth val="219"/>
        <c:overlap val="-27"/>
        <c:axId val="95290399"/>
        <c:axId val="95290879"/>
      </c:barChart>
      <c:catAx>
        <c:axId val="9529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90879"/>
        <c:crosses val="autoZero"/>
        <c:auto val="1"/>
        <c:lblAlgn val="ctr"/>
        <c:lblOffset val="100"/>
        <c:noMultiLvlLbl val="0"/>
      </c:catAx>
      <c:valAx>
        <c:axId val="952908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9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[Sales_Performance_Raw_Data (version 1).xlsx]Analysis!Region</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Analysis!$B$9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4B9-4FEA-88D9-4C08F00F6AD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4B9-4FEA-88D9-4C08F00F6AD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4B9-4FEA-88D9-4C08F00F6AD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4B9-4FEA-88D9-4C08F00F6AD1}"/>
              </c:ext>
            </c:extLst>
          </c:dPt>
          <c:cat>
            <c:strRef>
              <c:f>Analysis!$A$10:$A$14</c:f>
              <c:strCache>
                <c:ptCount val="4"/>
                <c:pt idx="0">
                  <c:v>East</c:v>
                </c:pt>
                <c:pt idx="1">
                  <c:v>North</c:v>
                </c:pt>
                <c:pt idx="2">
                  <c:v>South</c:v>
                </c:pt>
                <c:pt idx="3">
                  <c:v>West</c:v>
                </c:pt>
              </c:strCache>
            </c:strRef>
          </c:cat>
          <c:val>
            <c:numRef>
              <c:f>Analysis!$B$10:$B$14</c:f>
              <c:numCache>
                <c:formatCode>"$"#,##0.00</c:formatCode>
                <c:ptCount val="4"/>
                <c:pt idx="0">
                  <c:v>135653</c:v>
                </c:pt>
                <c:pt idx="1">
                  <c:v>183496</c:v>
                </c:pt>
                <c:pt idx="2">
                  <c:v>121347</c:v>
                </c:pt>
                <c:pt idx="3">
                  <c:v>114731</c:v>
                </c:pt>
              </c:numCache>
            </c:numRef>
          </c:val>
          <c:extLst>
            <c:ext xmlns:c16="http://schemas.microsoft.com/office/drawing/2014/chart" uri="{C3380CC4-5D6E-409C-BE32-E72D297353CC}">
              <c16:uniqueId val="{00000008-14B9-4FEA-88D9-4C08F00F6AD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[Sales_Performance_Raw_Data (version 1).xlsx]Analysis!Month</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2060"/>
                </a:solidFill>
              </a:rPr>
              <a:t>Monthly Revenue Trend Chart</a:t>
            </a:r>
            <a:endParaRPr lang="en-US" b="1">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circle"/>
          <c:size val="5"/>
          <c:spPr>
            <a:solidFill>
              <a:schemeClr val="accent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circle"/>
          <c:size val="5"/>
          <c:spPr>
            <a:solidFill>
              <a:schemeClr val="accent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circle"/>
          <c:size val="5"/>
          <c:spPr>
            <a:solidFill>
              <a:schemeClr val="accent1"/>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Analysis!$B$40</c:f>
              <c:strCache>
                <c:ptCount val="1"/>
                <c:pt idx="0">
                  <c:v>Total</c:v>
                </c:pt>
              </c:strCache>
            </c:strRef>
          </c:tx>
          <c:spPr>
            <a:ln w="28575" cap="rnd">
              <a:solidFill>
                <a:srgbClr val="C00000"/>
              </a:solidFill>
              <a:round/>
            </a:ln>
            <a:effectLst/>
          </c:spPr>
          <c:marker>
            <c:symbol val="circle"/>
            <c:size val="5"/>
            <c:spPr>
              <a:solidFill>
                <a:schemeClr val="accent1"/>
              </a:solidFill>
              <a:ln w="9525">
                <a:solidFill>
                  <a:srgbClr val="C00000"/>
                </a:solidFill>
              </a:ln>
              <a:effectLst/>
            </c:spPr>
          </c:marker>
          <c:cat>
            <c:strRef>
              <c:f>Analysis!$A$41:$A$53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Analysis!$B$41:$B$53</c:f>
              <c:numCache>
                <c:formatCode>"$"#,##0.00</c:formatCode>
                <c:ptCount val="12"/>
                <c:pt idx="0">
                  <c:v>62414</c:v>
                </c:pt>
                <c:pt idx="1">
                  <c:v>43972</c:v>
                </c:pt>
                <c:pt idx="2">
                  <c:v>44703</c:v>
                </c:pt>
                <c:pt idx="3">
                  <c:v>42940</c:v>
                </c:pt>
                <c:pt idx="4">
                  <c:v>57070</c:v>
                </c:pt>
                <c:pt idx="5">
                  <c:v>46267</c:v>
                </c:pt>
                <c:pt idx="6">
                  <c:v>52399</c:v>
                </c:pt>
                <c:pt idx="7">
                  <c:v>41691</c:v>
                </c:pt>
                <c:pt idx="8">
                  <c:v>32729</c:v>
                </c:pt>
                <c:pt idx="9">
                  <c:v>35227</c:v>
                </c:pt>
                <c:pt idx="10">
                  <c:v>47702</c:v>
                </c:pt>
                <c:pt idx="11">
                  <c:v>48113</c:v>
                </c:pt>
              </c:numCache>
            </c:numRef>
          </c:val>
          <c:smooth val="0"/>
          <c:extLst>
            <c:ext xmlns:c16="http://schemas.microsoft.com/office/drawing/2014/chart" uri="{C3380CC4-5D6E-409C-BE32-E72D297353CC}">
              <c16:uniqueId val="{00000000-BCA2-4326-B82E-4955EC6843B1}"/>
            </c:ext>
          </c:extLst>
        </c:ser>
        <c:dLbls>
          <c:showLegendKey val="0"/>
          <c:showVal val="0"/>
          <c:showCatName val="0"/>
          <c:showSerName val="0"/>
          <c:showPercent val="0"/>
          <c:showBubbleSize val="0"/>
        </c:dLbls>
        <c:marker val="1"/>
        <c:smooth val="0"/>
        <c:axId val="1257954271"/>
        <c:axId val="1257959071"/>
      </c:lineChart>
      <c:catAx>
        <c:axId val="125795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59071"/>
        <c:crosses val="autoZero"/>
        <c:auto val="1"/>
        <c:lblAlgn val="ctr"/>
        <c:lblOffset val="100"/>
        <c:noMultiLvlLbl val="0"/>
      </c:catAx>
      <c:valAx>
        <c:axId val="12579590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954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228600</xdr:colOff>
      <xdr:row>4</xdr:row>
      <xdr:rowOff>0</xdr:rowOff>
    </xdr:from>
    <xdr:to>
      <xdr:col>8</xdr:col>
      <xdr:colOff>447675</xdr:colOff>
      <xdr:row>18</xdr:row>
      <xdr:rowOff>76200</xdr:rowOff>
    </xdr:to>
    <xdr:graphicFrame macro="">
      <xdr:nvGraphicFramePr>
        <xdr:cNvPr id="2" name="Chart 1">
          <a:extLst>
            <a:ext uri="{FF2B5EF4-FFF2-40B4-BE49-F238E27FC236}">
              <a16:creationId xmlns:a16="http://schemas.microsoft.com/office/drawing/2014/main" id="{80BFE0C2-1B23-76C5-899D-108BA8D7F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247650</xdr:colOff>
      <xdr:row>19</xdr:row>
      <xdr:rowOff>19050</xdr:rowOff>
    </xdr:from>
    <xdr:to>
      <xdr:col>8</xdr:col>
      <xdr:colOff>504825</xdr:colOff>
      <xdr:row>35</xdr:row>
      <xdr:rowOff>38100</xdr:rowOff>
    </xdr:to>
    <xdr:graphicFrame macro="">
      <xdr:nvGraphicFramePr>
        <xdr:cNvPr id="4" name="Chart 3">
          <a:extLst>
            <a:ext uri="{FF2B5EF4-FFF2-40B4-BE49-F238E27FC236}">
              <a16:creationId xmlns:a16="http://schemas.microsoft.com/office/drawing/2014/main" id="{9CF74273-63CA-898C-C05A-990017A76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61912</xdr:colOff>
      <xdr:row>3</xdr:row>
      <xdr:rowOff>152400</xdr:rowOff>
    </xdr:from>
    <xdr:to>
      <xdr:col>15</xdr:col>
      <xdr:colOff>123825</xdr:colOff>
      <xdr:row>18</xdr:row>
      <xdr:rowOff>76200</xdr:rowOff>
    </xdr:to>
    <xdr:graphicFrame macro="">
      <xdr:nvGraphicFramePr>
        <xdr:cNvPr id="5" name="Chart 4">
          <a:extLst>
            <a:ext uri="{FF2B5EF4-FFF2-40B4-BE49-F238E27FC236}">
              <a16:creationId xmlns:a16="http://schemas.microsoft.com/office/drawing/2014/main" id="{569EAADB-8FD2-6DE6-134F-24F3ADB685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238125</xdr:colOff>
      <xdr:row>19</xdr:row>
      <xdr:rowOff>104775</xdr:rowOff>
    </xdr:from>
    <xdr:to>
      <xdr:col>12</xdr:col>
      <xdr:colOff>238125</xdr:colOff>
      <xdr:row>32</xdr:row>
      <xdr:rowOff>152400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ECCC0C95-779A-9051-C0F0-79F6C6399C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115175" y="3724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542925</xdr:colOff>
      <xdr:row>19</xdr:row>
      <xdr:rowOff>133350</xdr:rowOff>
    </xdr:from>
    <xdr:to>
      <xdr:col>15</xdr:col>
      <xdr:colOff>542925</xdr:colOff>
      <xdr:row>32</xdr:row>
      <xdr:rowOff>180975</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9D7AD41E-4EEC-B6DC-1D9D-5A8767E55A7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248775" y="3752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95250</xdr:colOff>
      <xdr:row>38</xdr:row>
      <xdr:rowOff>161925</xdr:rowOff>
    </xdr:from>
    <xdr:to>
      <xdr:col>9</xdr:col>
      <xdr:colOff>314325</xdr:colOff>
      <xdr:row>53</xdr:row>
      <xdr:rowOff>47625</xdr:rowOff>
    </xdr:to>
    <xdr:graphicFrame macro="">
      <xdr:nvGraphicFramePr>
        <xdr:cNvPr id="14" name="Chart 13">
          <a:extLst>
            <a:ext uri="{FF2B5EF4-FFF2-40B4-BE49-F238E27FC236}">
              <a16:creationId xmlns:a16="http://schemas.microsoft.com/office/drawing/2014/main" id="{C9498687-5F6E-1EB7-52E1-23D44948D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152400</xdr:colOff>
      <xdr:row>37</xdr:row>
      <xdr:rowOff>19050</xdr:rowOff>
    </xdr:from>
    <xdr:to>
      <xdr:col>13</xdr:col>
      <xdr:colOff>152400</xdr:colOff>
      <xdr:row>50</xdr:row>
      <xdr:rowOff>66675</xdr:rowOff>
    </xdr:to>
    <mc:AlternateContent xmlns:mc="http://schemas.openxmlformats.org/markup-compatibility/2006">
      <mc:Choice xmlns:a14="http://schemas.microsoft.com/office/drawing/2010/main" Requires="a14">
        <xdr:graphicFrame macro="">
          <xdr:nvGraphicFramePr>
            <xdr:cNvPr id="15" name="Month">
              <a:extLst>
                <a:ext uri="{FF2B5EF4-FFF2-40B4-BE49-F238E27FC236}">
                  <a16:creationId xmlns:a16="http://schemas.microsoft.com/office/drawing/2014/main" id="{55FCC719-60B5-90F5-20DA-84E38DEF086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639050" y="7067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10583</xdr:colOff>
      <xdr:row>11</xdr:row>
      <xdr:rowOff>119840</xdr:rowOff>
    </xdr:from>
    <xdr:to>
      <xdr:col>20</xdr:col>
      <xdr:colOff>177210</xdr:colOff>
      <xdr:row>30</xdr:row>
      <xdr:rowOff>0</xdr:rowOff>
    </xdr:to>
    <xdr:graphicFrame macro="">
      <xdr:nvGraphicFramePr>
        <xdr:cNvPr id="5" name="Chart 4">
          <a:extLst>
            <a:ext uri="{FF2B5EF4-FFF2-40B4-BE49-F238E27FC236}">
              <a16:creationId xmlns:a16="http://schemas.microsoft.com/office/drawing/2014/main" id="{BC666C04-8BF6-4965-89AC-4D58AEABB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469402</xdr:colOff>
      <xdr:row>11</xdr:row>
      <xdr:rowOff>116666</xdr:rowOff>
    </xdr:from>
    <xdr:to>
      <xdr:col>12</xdr:col>
      <xdr:colOff>609156</xdr:colOff>
      <xdr:row>30</xdr:row>
      <xdr:rowOff>1</xdr:rowOff>
    </xdr:to>
    <xdr:graphicFrame macro="">
      <xdr:nvGraphicFramePr>
        <xdr:cNvPr id="6" name="Chart 5">
          <a:extLst>
            <a:ext uri="{FF2B5EF4-FFF2-40B4-BE49-F238E27FC236}">
              <a16:creationId xmlns:a16="http://schemas.microsoft.com/office/drawing/2014/main" id="{6BC5EF7B-66B4-4686-8FD0-D70DB5932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31749</xdr:colOff>
      <xdr:row>0</xdr:row>
      <xdr:rowOff>264582</xdr:rowOff>
    </xdr:from>
    <xdr:to>
      <xdr:col>20</xdr:col>
      <xdr:colOff>190501</xdr:colOff>
      <xdr:row>11</xdr:row>
      <xdr:rowOff>114300</xdr:rowOff>
    </xdr:to>
    <xdr:graphicFrame macro="">
      <xdr:nvGraphicFramePr>
        <xdr:cNvPr id="8" name="Chart 7">
          <a:extLst>
            <a:ext uri="{FF2B5EF4-FFF2-40B4-BE49-F238E27FC236}">
              <a16:creationId xmlns:a16="http://schemas.microsoft.com/office/drawing/2014/main" id="{E50B2A71-32D8-46AE-9297-2B336D02C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55378</xdr:colOff>
      <xdr:row>11</xdr:row>
      <xdr:rowOff>138076</xdr:rowOff>
    </xdr:from>
    <xdr:to>
      <xdr:col>5</xdr:col>
      <xdr:colOff>454099</xdr:colOff>
      <xdr:row>30</xdr:row>
      <xdr:rowOff>0</xdr:rowOff>
    </xdr:to>
    <xdr:graphicFrame macro="">
      <xdr:nvGraphicFramePr>
        <xdr:cNvPr id="9" name="Chart 8">
          <a:extLst>
            <a:ext uri="{FF2B5EF4-FFF2-40B4-BE49-F238E27FC236}">
              <a16:creationId xmlns:a16="http://schemas.microsoft.com/office/drawing/2014/main" id="{5084A80D-D4C6-47E1-B3BE-474BDCC32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21166</xdr:colOff>
      <xdr:row>1</xdr:row>
      <xdr:rowOff>31750</xdr:rowOff>
    </xdr:from>
    <xdr:to>
      <xdr:col>16</xdr:col>
      <xdr:colOff>8466</xdr:colOff>
      <xdr:row>11</xdr:row>
      <xdr:rowOff>95251</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14E339BD-2822-4DCF-BD9B-7EF44F13A2C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302503" y="397244"/>
              <a:ext cx="1814771" cy="194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546098</xdr:colOff>
      <xdr:row>1</xdr:row>
      <xdr:rowOff>70909</xdr:rowOff>
    </xdr:from>
    <xdr:to>
      <xdr:col>9</xdr:col>
      <xdr:colOff>533398</xdr:colOff>
      <xdr:row>11</xdr:row>
      <xdr:rowOff>95251</xdr:rowOff>
    </xdr:to>
    <mc:AlternateContent xmlns:mc="http://schemas.openxmlformats.org/markup-compatibility/2006">
      <mc:Choice xmlns:a14="http://schemas.microsoft.com/office/drawing/2010/main" Requires="a14">
        <xdr:graphicFrame macro="">
          <xdr:nvGraphicFramePr>
            <xdr:cNvPr id="11" name="Product 1">
              <a:extLst>
                <a:ext uri="{FF2B5EF4-FFF2-40B4-BE49-F238E27FC236}">
                  <a16:creationId xmlns:a16="http://schemas.microsoft.com/office/drawing/2014/main" id="{0B39C7AC-158F-470C-BC35-6A76830C6DF6}"/>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563336" y="436403"/>
              <a:ext cx="1814771" cy="1907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291041</xdr:colOff>
      <xdr:row>1</xdr:row>
      <xdr:rowOff>51857</xdr:rowOff>
    </xdr:from>
    <xdr:to>
      <xdr:col>5</xdr:col>
      <xdr:colOff>278341</xdr:colOff>
      <xdr:row>11</xdr:row>
      <xdr:rowOff>127000</xdr:rowOff>
    </xdr:to>
    <mc:AlternateContent xmlns:mc="http://schemas.openxmlformats.org/markup-compatibility/2006">
      <mc:Choice xmlns:a14="http://schemas.microsoft.com/office/drawing/2010/main" Requires="a14">
        <xdr:graphicFrame macro="">
          <xdr:nvGraphicFramePr>
            <xdr:cNvPr id="12" name="Month 1">
              <a:extLst>
                <a:ext uri="{FF2B5EF4-FFF2-40B4-BE49-F238E27FC236}">
                  <a16:creationId xmlns:a16="http://schemas.microsoft.com/office/drawing/2014/main" id="{F8E5D8ED-2631-4B45-8CD9-D41026931CE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871651" y="417351"/>
              <a:ext cx="1814771" cy="19579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16.645265509258" createdVersion="8" refreshedVersion="8" minRefreshableVersion="3" recordCount="300" xr:uid="{530B3C4F-D2CA-493B-9F59-59CD0C9C0DEE}">
  <cacheSource type="worksheet">
    <worksheetSource name="Sales_Clean_Data"/>
  </cacheSource>
  <cacheFields count="11">
    <cacheField name="Order_ID" numFmtId="0">
      <sharedItems/>
    </cacheField>
    <cacheField name="Order_Date" numFmtId="164">
      <sharedItems/>
    </cacheField>
    <cacheField name="Region" numFmtId="0">
      <sharedItems count="4">
        <s v="East"/>
        <s v="West"/>
        <s v="North"/>
        <s v="South"/>
      </sharedItems>
    </cacheField>
    <cacheField name="Salesperson" numFmtId="0">
      <sharedItems count="6">
        <s v="Ben"/>
        <s v="Alex"/>
        <s v="Diana"/>
        <s v="Ethan"/>
        <s v="Fiona"/>
        <s v="Clara"/>
      </sharedItems>
    </cacheField>
    <cacheField name="Product" numFmtId="0">
      <sharedItems count="6">
        <s v="Monitor"/>
        <s v="Mouse"/>
        <s v="Laptop"/>
        <s v="Keyboard"/>
        <s v="Phone"/>
        <s v="Headphones"/>
      </sharedItems>
    </cacheField>
    <cacheField name="Category" numFmtId="0">
      <sharedItems/>
    </cacheField>
    <cacheField name="Quantity" numFmtId="2">
      <sharedItems containsSemiMixedTypes="0" containsString="0" containsNumber="1" containsInteger="1" minValue="1" maxValue="5"/>
    </cacheField>
    <cacheField name="Revenue" numFmtId="165">
      <sharedItems containsSemiMixedTypes="0" containsString="0" containsNumber="1" containsInteger="1" minValue="107" maxValue="5980"/>
    </cacheField>
    <cacheField name="Cost" numFmtId="165">
      <sharedItems containsSemiMixedTypes="0" containsString="0" containsNumber="1" containsInteger="1" minValue="81" maxValue="3923"/>
    </cacheField>
    <cacheField name="Profit" numFmtId="165">
      <sharedItems containsSemiMixedTypes="0" containsString="0" containsNumber="1" containsInteger="1" minValue="26" maxValue="2220"/>
    </cacheField>
    <cacheField name="Month" numFmtId="165">
      <sharedItems count="12">
        <s v="Mar"/>
        <s v="Feb"/>
        <s v="Dec"/>
        <s v="Jan"/>
        <s v="Apr"/>
        <s v="Oct"/>
        <s v="Jul"/>
        <s v="Nov"/>
        <s v="Jun"/>
        <s v="Sep"/>
        <s v="Aug"/>
        <s v="May"/>
      </sharedItems>
    </cacheField>
  </cacheFields>
  <extLst>
    <ext xmlns:x14="http://schemas.microsoft.com/office/spreadsheetml/2009/9/main" uri="{725AE2AE-9491-48be-B2B4-4EB974FC3084}">
      <x14:pivotCacheDefinition pivotCacheId="551923795"/>
    </ext>
    <ext xmlns:xlpar="http://schemas.microsoft.com/office/spreadsheetml/2024/pivotAutoRefresh" uri="{DA1E1B2C-A1EE-400B-A0BD-712935E3C959}">
      <xlpar:autoRefresh>1</xlpar:autoRefresh>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s v="2024-03-19"/>
    <x v="0"/>
    <x v="0"/>
    <x v="0"/>
    <s v="Electronics"/>
    <n v="1"/>
    <n v="443"/>
    <n v="299"/>
    <n v="144"/>
    <x v="0"/>
  </r>
  <r>
    <s v="ORD0002"/>
    <s v="2024-02-08"/>
    <x v="1"/>
    <x v="1"/>
    <x v="1"/>
    <s v="Accessories"/>
    <n v="4"/>
    <n v="1820"/>
    <n v="1337"/>
    <n v="483"/>
    <x v="1"/>
  </r>
  <r>
    <s v="ORD0003"/>
    <s v="2024-12-21"/>
    <x v="2"/>
    <x v="0"/>
    <x v="0"/>
    <s v="Electronics"/>
    <n v="4"/>
    <n v="2212"/>
    <n v="1493"/>
    <n v="719"/>
    <x v="2"/>
  </r>
  <r>
    <s v="ORD0004"/>
    <s v="2024-01-22"/>
    <x v="3"/>
    <x v="2"/>
    <x v="2"/>
    <s v="Electronics"/>
    <n v="5"/>
    <n v="5855"/>
    <n v="3635"/>
    <n v="2220"/>
    <x v="3"/>
  </r>
  <r>
    <s v="ORD0005"/>
    <s v="2024-04-26"/>
    <x v="1"/>
    <x v="3"/>
    <x v="0"/>
    <s v="Electronics"/>
    <n v="3"/>
    <n v="1248"/>
    <n v="763"/>
    <n v="485"/>
    <x v="4"/>
  </r>
  <r>
    <s v="ORD0006"/>
    <s v="2024-03-01"/>
    <x v="0"/>
    <x v="3"/>
    <x v="0"/>
    <s v="Electronics"/>
    <n v="4"/>
    <n v="624"/>
    <n v="481"/>
    <n v="143"/>
    <x v="0"/>
  </r>
  <r>
    <s v="ORD0007"/>
    <s v="2024-10-24"/>
    <x v="0"/>
    <x v="4"/>
    <x v="3"/>
    <s v="Accessories"/>
    <n v="4"/>
    <n v="864"/>
    <n v="592"/>
    <n v="272"/>
    <x v="5"/>
  </r>
  <r>
    <s v="ORD0008"/>
    <s v="2024-02-16"/>
    <x v="3"/>
    <x v="4"/>
    <x v="1"/>
    <s v="Accessories"/>
    <n v="4"/>
    <n v="4372"/>
    <n v="3159"/>
    <n v="1213"/>
    <x v="1"/>
  </r>
  <r>
    <s v="ORD0009"/>
    <s v="2024-12-24"/>
    <x v="3"/>
    <x v="0"/>
    <x v="0"/>
    <s v="Electronics"/>
    <n v="2"/>
    <n v="1910"/>
    <n v="1500"/>
    <n v="410"/>
    <x v="2"/>
  </r>
  <r>
    <s v="ORD0010"/>
    <s v="2024-12-07"/>
    <x v="1"/>
    <x v="2"/>
    <x v="0"/>
    <s v="Electronics"/>
    <n v="5"/>
    <n v="1125"/>
    <n v="733"/>
    <n v="392"/>
    <x v="2"/>
  </r>
  <r>
    <s v="ORD0011"/>
    <s v="2024-07-30"/>
    <x v="2"/>
    <x v="5"/>
    <x v="3"/>
    <s v="Accessories"/>
    <n v="4"/>
    <n v="964"/>
    <n v="680"/>
    <n v="284"/>
    <x v="6"/>
  </r>
  <r>
    <s v="ORD0012"/>
    <s v="2024-11-07"/>
    <x v="0"/>
    <x v="2"/>
    <x v="0"/>
    <s v="Electronics"/>
    <n v="2"/>
    <n v="292"/>
    <n v="184"/>
    <n v="108"/>
    <x v="7"/>
  </r>
  <r>
    <s v="ORD0013"/>
    <s v="2024-07-16"/>
    <x v="2"/>
    <x v="1"/>
    <x v="1"/>
    <s v="Accessories"/>
    <n v="3"/>
    <n v="2988"/>
    <n v="1847"/>
    <n v="1141"/>
    <x v="6"/>
  </r>
  <r>
    <s v="ORD0014"/>
    <s v="2024-06-23"/>
    <x v="0"/>
    <x v="5"/>
    <x v="1"/>
    <s v="Accessories"/>
    <n v="3"/>
    <n v="2136"/>
    <n v="1440"/>
    <n v="696"/>
    <x v="8"/>
  </r>
  <r>
    <s v="ORD0015"/>
    <s v="2024-07-03"/>
    <x v="1"/>
    <x v="1"/>
    <x v="1"/>
    <s v="Accessories"/>
    <n v="4"/>
    <n v="804"/>
    <n v="485"/>
    <n v="319"/>
    <x v="6"/>
  </r>
  <r>
    <s v="ORD0016"/>
    <s v="2024-10-01"/>
    <x v="2"/>
    <x v="4"/>
    <x v="4"/>
    <s v="Electronics"/>
    <n v="4"/>
    <n v="4228"/>
    <n v="3238"/>
    <n v="990"/>
    <x v="5"/>
  </r>
  <r>
    <s v="ORD0017"/>
    <s v="2024-07-17"/>
    <x v="3"/>
    <x v="5"/>
    <x v="2"/>
    <s v="Electronics"/>
    <n v="5"/>
    <n v="935"/>
    <n v="714"/>
    <n v="221"/>
    <x v="6"/>
  </r>
  <r>
    <s v="ORD0018"/>
    <s v="2024-04-11"/>
    <x v="2"/>
    <x v="5"/>
    <x v="2"/>
    <s v="Electronics"/>
    <n v="3"/>
    <n v="2547"/>
    <n v="1611"/>
    <n v="936"/>
    <x v="4"/>
  </r>
  <r>
    <s v="ORD0019"/>
    <s v="2024-09-26"/>
    <x v="0"/>
    <x v="5"/>
    <x v="2"/>
    <s v="Electronics"/>
    <n v="3"/>
    <n v="3324"/>
    <n v="2310"/>
    <n v="1014"/>
    <x v="9"/>
  </r>
  <r>
    <s v="ORD0020"/>
    <s v="2024-11-15"/>
    <x v="0"/>
    <x v="1"/>
    <x v="3"/>
    <s v="Accessories"/>
    <n v="1"/>
    <n v="223"/>
    <n v="176"/>
    <n v="47"/>
    <x v="7"/>
  </r>
  <r>
    <s v="ORD0021"/>
    <s v="2024-06-14"/>
    <x v="1"/>
    <x v="4"/>
    <x v="4"/>
    <s v="Electronics"/>
    <n v="2"/>
    <n v="1910"/>
    <n v="1493"/>
    <n v="417"/>
    <x v="8"/>
  </r>
  <r>
    <s v="ORD0022"/>
    <s v="2024-06-05"/>
    <x v="1"/>
    <x v="4"/>
    <x v="5"/>
    <s v="Accessories"/>
    <n v="1"/>
    <n v="1008"/>
    <n v="641"/>
    <n v="367"/>
    <x v="8"/>
  </r>
  <r>
    <s v="ORD0023"/>
    <s v="2024-08-30"/>
    <x v="0"/>
    <x v="2"/>
    <x v="2"/>
    <s v="Electronics"/>
    <n v="1"/>
    <n v="503"/>
    <n v="316"/>
    <n v="187"/>
    <x v="10"/>
  </r>
  <r>
    <s v="ORD0024"/>
    <s v="2024-08-02"/>
    <x v="0"/>
    <x v="4"/>
    <x v="2"/>
    <s v="Electronics"/>
    <n v="1"/>
    <n v="409"/>
    <n v="293"/>
    <n v="116"/>
    <x v="10"/>
  </r>
  <r>
    <s v="ORD0025"/>
    <s v="2024-02-13"/>
    <x v="0"/>
    <x v="1"/>
    <x v="0"/>
    <s v="Electronics"/>
    <n v="2"/>
    <n v="732"/>
    <n v="504"/>
    <n v="228"/>
    <x v="1"/>
  </r>
  <r>
    <s v="ORD0026"/>
    <s v="2024-11-05"/>
    <x v="1"/>
    <x v="2"/>
    <x v="2"/>
    <s v="Electronics"/>
    <n v="2"/>
    <n v="932"/>
    <n v="601"/>
    <n v="331"/>
    <x v="7"/>
  </r>
  <r>
    <s v="ORD0027"/>
    <s v="2024-10-06"/>
    <x v="3"/>
    <x v="0"/>
    <x v="3"/>
    <s v="Accessories"/>
    <n v="1"/>
    <n v="696"/>
    <n v="452"/>
    <n v="244"/>
    <x v="5"/>
  </r>
  <r>
    <s v="ORD0028"/>
    <s v="2024-09-09"/>
    <x v="2"/>
    <x v="1"/>
    <x v="4"/>
    <s v="Electronics"/>
    <n v="3"/>
    <n v="1581"/>
    <n v="1120"/>
    <n v="461"/>
    <x v="9"/>
  </r>
  <r>
    <s v="ORD0029"/>
    <s v="2024-11-29"/>
    <x v="3"/>
    <x v="0"/>
    <x v="0"/>
    <s v="Electronics"/>
    <n v="5"/>
    <n v="3965"/>
    <n v="2854"/>
    <n v="1111"/>
    <x v="7"/>
  </r>
  <r>
    <s v="ORD0030"/>
    <s v="2024-10-27"/>
    <x v="2"/>
    <x v="0"/>
    <x v="2"/>
    <s v="Electronics"/>
    <n v="5"/>
    <n v="3660"/>
    <n v="2724"/>
    <n v="936"/>
    <x v="5"/>
  </r>
  <r>
    <s v="ORD0031"/>
    <s v="2024-03-08"/>
    <x v="1"/>
    <x v="2"/>
    <x v="3"/>
    <s v="Accessories"/>
    <n v="1"/>
    <n v="735"/>
    <n v="485"/>
    <n v="250"/>
    <x v="0"/>
  </r>
  <r>
    <s v="ORD0032"/>
    <s v="2024-01-04"/>
    <x v="2"/>
    <x v="1"/>
    <x v="2"/>
    <s v="Electronics"/>
    <n v="5"/>
    <n v="2910"/>
    <n v="2269"/>
    <n v="641"/>
    <x v="3"/>
  </r>
  <r>
    <s v="ORD0033"/>
    <s v="2024-06-10"/>
    <x v="3"/>
    <x v="3"/>
    <x v="1"/>
    <s v="Accessories"/>
    <n v="4"/>
    <n v="1816"/>
    <n v="1213"/>
    <n v="603"/>
    <x v="8"/>
  </r>
  <r>
    <s v="ORD0034"/>
    <s v="2024-02-17"/>
    <x v="1"/>
    <x v="4"/>
    <x v="3"/>
    <s v="Accessories"/>
    <n v="1"/>
    <n v="1117"/>
    <n v="845"/>
    <n v="272"/>
    <x v="1"/>
  </r>
  <r>
    <s v="ORD0035"/>
    <s v="2024-05-15"/>
    <x v="3"/>
    <x v="2"/>
    <x v="0"/>
    <s v="Electronics"/>
    <n v="3"/>
    <n v="1485"/>
    <n v="1073"/>
    <n v="412"/>
    <x v="11"/>
  </r>
  <r>
    <s v="ORD0036"/>
    <s v="2024-04-21"/>
    <x v="2"/>
    <x v="5"/>
    <x v="1"/>
    <s v="Accessories"/>
    <n v="4"/>
    <n v="1192"/>
    <n v="882"/>
    <n v="310"/>
    <x v="4"/>
  </r>
  <r>
    <s v="ORD0037"/>
    <s v="2024-06-25"/>
    <x v="2"/>
    <x v="0"/>
    <x v="4"/>
    <s v="Electronics"/>
    <n v="2"/>
    <n v="2120"/>
    <n v="1594"/>
    <n v="526"/>
    <x v="8"/>
  </r>
  <r>
    <s v="ORD0038"/>
    <s v="2024-08-25"/>
    <x v="3"/>
    <x v="0"/>
    <x v="4"/>
    <s v="Electronics"/>
    <n v="3"/>
    <n v="3564"/>
    <n v="2634"/>
    <n v="930"/>
    <x v="10"/>
  </r>
  <r>
    <s v="ORD0039"/>
    <s v="2024-07-19"/>
    <x v="2"/>
    <x v="1"/>
    <x v="0"/>
    <s v="Electronics"/>
    <n v="2"/>
    <n v="1498"/>
    <n v="1008"/>
    <n v="490"/>
    <x v="6"/>
  </r>
  <r>
    <s v="ORD0040"/>
    <s v="2024-11-12"/>
    <x v="1"/>
    <x v="3"/>
    <x v="3"/>
    <s v="Accessories"/>
    <n v="4"/>
    <n v="3868"/>
    <n v="2375"/>
    <n v="1493"/>
    <x v="7"/>
  </r>
  <r>
    <s v="ORD0041"/>
    <s v="2024-11-19"/>
    <x v="1"/>
    <x v="4"/>
    <x v="5"/>
    <s v="Accessories"/>
    <n v="5"/>
    <n v="4400"/>
    <n v="3393"/>
    <n v="1007"/>
    <x v="7"/>
  </r>
  <r>
    <s v="ORD0042"/>
    <s v="2024-02-22"/>
    <x v="2"/>
    <x v="5"/>
    <x v="4"/>
    <s v="Electronics"/>
    <n v="2"/>
    <n v="626"/>
    <n v="380"/>
    <n v="246"/>
    <x v="1"/>
  </r>
  <r>
    <s v="ORD0043"/>
    <s v="2024-08-27"/>
    <x v="3"/>
    <x v="0"/>
    <x v="2"/>
    <s v="Electronics"/>
    <n v="5"/>
    <n v="3960"/>
    <n v="2412"/>
    <n v="1548"/>
    <x v="10"/>
  </r>
  <r>
    <s v="ORD0044"/>
    <s v="2024-04-05"/>
    <x v="2"/>
    <x v="1"/>
    <x v="0"/>
    <s v="Electronics"/>
    <n v="5"/>
    <n v="3005"/>
    <n v="2345"/>
    <n v="660"/>
    <x v="4"/>
  </r>
  <r>
    <s v="ORD0045"/>
    <s v="2024-07-21"/>
    <x v="2"/>
    <x v="1"/>
    <x v="1"/>
    <s v="Accessories"/>
    <n v="2"/>
    <n v="1102"/>
    <n v="762"/>
    <n v="340"/>
    <x v="6"/>
  </r>
  <r>
    <s v="ORD0046"/>
    <s v="2024-03-18"/>
    <x v="1"/>
    <x v="4"/>
    <x v="0"/>
    <s v="Electronics"/>
    <n v="4"/>
    <n v="860"/>
    <n v="522"/>
    <n v="338"/>
    <x v="0"/>
  </r>
  <r>
    <s v="ORD0047"/>
    <s v="2024-12-09"/>
    <x v="3"/>
    <x v="2"/>
    <x v="1"/>
    <s v="Accessories"/>
    <n v="4"/>
    <n v="952"/>
    <n v="719"/>
    <n v="233"/>
    <x v="2"/>
  </r>
  <r>
    <s v="ORD0048"/>
    <s v="2024-01-02"/>
    <x v="3"/>
    <x v="4"/>
    <x v="3"/>
    <s v="Accessories"/>
    <n v="2"/>
    <n v="834"/>
    <n v="619"/>
    <n v="215"/>
    <x v="3"/>
  </r>
  <r>
    <s v="ORD0049"/>
    <s v="2024-05-07"/>
    <x v="2"/>
    <x v="4"/>
    <x v="2"/>
    <s v="Electronics"/>
    <n v="4"/>
    <n v="3764"/>
    <n v="2765"/>
    <n v="999"/>
    <x v="11"/>
  </r>
  <r>
    <s v="ORD0050"/>
    <s v="2024-06-10"/>
    <x v="0"/>
    <x v="4"/>
    <x v="5"/>
    <s v="Accessories"/>
    <n v="2"/>
    <n v="1914"/>
    <n v="1285"/>
    <n v="629"/>
    <x v="8"/>
  </r>
  <r>
    <s v="ORD0051"/>
    <s v="2024-09-21"/>
    <x v="1"/>
    <x v="3"/>
    <x v="4"/>
    <s v="Electronics"/>
    <n v="4"/>
    <n v="4748"/>
    <n v="3793"/>
    <n v="955"/>
    <x v="9"/>
  </r>
  <r>
    <s v="ORD0052"/>
    <s v="2024-03-12"/>
    <x v="0"/>
    <x v="3"/>
    <x v="2"/>
    <s v="Electronics"/>
    <n v="5"/>
    <n v="2795"/>
    <n v="1951"/>
    <n v="844"/>
    <x v="0"/>
  </r>
  <r>
    <s v="ORD0053"/>
    <s v="2024-03-02"/>
    <x v="2"/>
    <x v="3"/>
    <x v="1"/>
    <s v="Accessories"/>
    <n v="1"/>
    <n v="465"/>
    <n v="280"/>
    <n v="185"/>
    <x v="0"/>
  </r>
  <r>
    <s v="ORD0054"/>
    <s v="2024-03-24"/>
    <x v="2"/>
    <x v="3"/>
    <x v="3"/>
    <s v="Accessories"/>
    <n v="4"/>
    <n v="3016"/>
    <n v="2371"/>
    <n v="645"/>
    <x v="0"/>
  </r>
  <r>
    <s v="ORD0055"/>
    <s v="2024-06-28"/>
    <x v="3"/>
    <x v="0"/>
    <x v="3"/>
    <s v="Accessories"/>
    <n v="3"/>
    <n v="2100"/>
    <n v="1500"/>
    <n v="600"/>
    <x v="8"/>
  </r>
  <r>
    <s v="ORD0056"/>
    <s v="2024-12-26"/>
    <x v="0"/>
    <x v="4"/>
    <x v="4"/>
    <s v="Electronics"/>
    <n v="4"/>
    <n v="968"/>
    <n v="704"/>
    <n v="264"/>
    <x v="2"/>
  </r>
  <r>
    <s v="ORD0057"/>
    <s v="2024-05-12"/>
    <x v="0"/>
    <x v="1"/>
    <x v="4"/>
    <s v="Electronics"/>
    <n v="4"/>
    <n v="4424"/>
    <n v="3383"/>
    <n v="1041"/>
    <x v="11"/>
  </r>
  <r>
    <s v="ORD0058"/>
    <s v="2024-12-16"/>
    <x v="0"/>
    <x v="4"/>
    <x v="3"/>
    <s v="Accessories"/>
    <n v="1"/>
    <n v="1185"/>
    <n v="884"/>
    <n v="301"/>
    <x v="2"/>
  </r>
  <r>
    <s v="ORD0059"/>
    <s v="2024-04-14"/>
    <x v="1"/>
    <x v="3"/>
    <x v="5"/>
    <s v="Accessories"/>
    <n v="1"/>
    <n v="1055"/>
    <n v="647"/>
    <n v="408"/>
    <x v="4"/>
  </r>
  <r>
    <s v="ORD0060"/>
    <s v="2024-08-21"/>
    <x v="2"/>
    <x v="3"/>
    <x v="3"/>
    <s v="Accessories"/>
    <n v="2"/>
    <n v="1268"/>
    <n v="906"/>
    <n v="362"/>
    <x v="10"/>
  </r>
  <r>
    <s v="ORD0061"/>
    <s v="2024-03-03"/>
    <x v="1"/>
    <x v="4"/>
    <x v="4"/>
    <s v="Electronics"/>
    <n v="5"/>
    <n v="5020"/>
    <n v="3836"/>
    <n v="1184"/>
    <x v="0"/>
  </r>
  <r>
    <s v="ORD0062"/>
    <s v="2024-11-02"/>
    <x v="3"/>
    <x v="3"/>
    <x v="0"/>
    <s v="Electronics"/>
    <n v="1"/>
    <n v="949"/>
    <n v="712"/>
    <n v="237"/>
    <x v="7"/>
  </r>
  <r>
    <s v="ORD0063"/>
    <s v="2024-01-11"/>
    <x v="2"/>
    <x v="4"/>
    <x v="2"/>
    <s v="Electronics"/>
    <n v="3"/>
    <n v="3090"/>
    <n v="2068"/>
    <n v="1022"/>
    <x v="3"/>
  </r>
  <r>
    <s v="ORD0064"/>
    <s v="2024-06-21"/>
    <x v="0"/>
    <x v="5"/>
    <x v="0"/>
    <s v="Electronics"/>
    <n v="3"/>
    <n v="552"/>
    <n v="342"/>
    <n v="210"/>
    <x v="8"/>
  </r>
  <r>
    <s v="ORD0065"/>
    <s v="2024-03-30"/>
    <x v="3"/>
    <x v="2"/>
    <x v="1"/>
    <s v="Accessories"/>
    <n v="2"/>
    <n v="2176"/>
    <n v="1567"/>
    <n v="609"/>
    <x v="0"/>
  </r>
  <r>
    <s v="ORD0066"/>
    <s v="2024-06-10"/>
    <x v="0"/>
    <x v="1"/>
    <x v="5"/>
    <s v="Accessories"/>
    <n v="3"/>
    <n v="3099"/>
    <n v="1985"/>
    <n v="1114"/>
    <x v="8"/>
  </r>
  <r>
    <s v="ORD0067"/>
    <s v="2024-11-13"/>
    <x v="2"/>
    <x v="1"/>
    <x v="2"/>
    <s v="Electronics"/>
    <n v="3"/>
    <n v="2169"/>
    <n v="1491"/>
    <n v="678"/>
    <x v="7"/>
  </r>
  <r>
    <s v="ORD0068"/>
    <s v="2024-07-11"/>
    <x v="3"/>
    <x v="1"/>
    <x v="0"/>
    <s v="Electronics"/>
    <n v="4"/>
    <n v="3104"/>
    <n v="1900"/>
    <n v="1204"/>
    <x v="6"/>
  </r>
  <r>
    <s v="ORD0069"/>
    <s v="2024-02-20"/>
    <x v="2"/>
    <x v="0"/>
    <x v="3"/>
    <s v="Accessories"/>
    <n v="3"/>
    <n v="936"/>
    <n v="748"/>
    <n v="188"/>
    <x v="1"/>
  </r>
  <r>
    <s v="ORD0070"/>
    <s v="2024-12-02"/>
    <x v="3"/>
    <x v="0"/>
    <x v="5"/>
    <s v="Accessories"/>
    <n v="1"/>
    <n v="1062"/>
    <n v="661"/>
    <n v="401"/>
    <x v="2"/>
  </r>
  <r>
    <s v="ORD0071"/>
    <s v="2024-05-14"/>
    <x v="3"/>
    <x v="3"/>
    <x v="2"/>
    <s v="Electronics"/>
    <n v="4"/>
    <n v="2412"/>
    <n v="1542"/>
    <n v="870"/>
    <x v="11"/>
  </r>
  <r>
    <s v="ORD0072"/>
    <s v="2024-01-29"/>
    <x v="2"/>
    <x v="2"/>
    <x v="2"/>
    <s v="Electronics"/>
    <n v="5"/>
    <n v="4130"/>
    <n v="2719"/>
    <n v="1411"/>
    <x v="3"/>
  </r>
  <r>
    <s v="ORD0073"/>
    <s v="2024-06-14"/>
    <x v="0"/>
    <x v="2"/>
    <x v="2"/>
    <s v="Electronics"/>
    <n v="3"/>
    <n v="2931"/>
    <n v="2045"/>
    <n v="886"/>
    <x v="8"/>
  </r>
  <r>
    <s v="ORD0074"/>
    <s v="2024-10-07"/>
    <x v="3"/>
    <x v="2"/>
    <x v="2"/>
    <s v="Electronics"/>
    <n v="1"/>
    <n v="837"/>
    <n v="563"/>
    <n v="274"/>
    <x v="5"/>
  </r>
  <r>
    <s v="ORD0075"/>
    <s v="2024-02-24"/>
    <x v="1"/>
    <x v="3"/>
    <x v="0"/>
    <s v="Electronics"/>
    <n v="2"/>
    <n v="1522"/>
    <n v="976"/>
    <n v="546"/>
    <x v="1"/>
  </r>
  <r>
    <s v="ORD0076"/>
    <s v="2024-04-03"/>
    <x v="1"/>
    <x v="5"/>
    <x v="0"/>
    <s v="Electronics"/>
    <n v="1"/>
    <n v="1090"/>
    <n v="766"/>
    <n v="324"/>
    <x v="4"/>
  </r>
  <r>
    <s v="ORD0077"/>
    <s v="2024-05-09"/>
    <x v="1"/>
    <x v="2"/>
    <x v="3"/>
    <s v="Accessories"/>
    <n v="1"/>
    <n v="596"/>
    <n v="358"/>
    <n v="238"/>
    <x v="11"/>
  </r>
  <r>
    <s v="ORD0078"/>
    <s v="2024-10-02"/>
    <x v="2"/>
    <x v="5"/>
    <x v="3"/>
    <s v="Accessories"/>
    <n v="1"/>
    <n v="152"/>
    <n v="115"/>
    <n v="37"/>
    <x v="5"/>
  </r>
  <r>
    <s v="ORD0079"/>
    <s v="2024-12-25"/>
    <x v="1"/>
    <x v="3"/>
    <x v="2"/>
    <s v="Electronics"/>
    <n v="5"/>
    <n v="3335"/>
    <n v="2204"/>
    <n v="1131"/>
    <x v="2"/>
  </r>
  <r>
    <s v="ORD0080"/>
    <s v="2024-11-10"/>
    <x v="1"/>
    <x v="1"/>
    <x v="1"/>
    <s v="Accessories"/>
    <n v="2"/>
    <n v="888"/>
    <n v="577"/>
    <n v="311"/>
    <x v="7"/>
  </r>
  <r>
    <s v="ORD0081"/>
    <s v="2024-08-16"/>
    <x v="3"/>
    <x v="4"/>
    <x v="3"/>
    <s v="Accessories"/>
    <n v="3"/>
    <n v="2151"/>
    <n v="1436"/>
    <n v="715"/>
    <x v="10"/>
  </r>
  <r>
    <s v="ORD0082"/>
    <s v="2024-09-05"/>
    <x v="2"/>
    <x v="5"/>
    <x v="0"/>
    <s v="Electronics"/>
    <n v="1"/>
    <n v="558"/>
    <n v="348"/>
    <n v="210"/>
    <x v="9"/>
  </r>
  <r>
    <s v="ORD0083"/>
    <s v="2024-04-02"/>
    <x v="3"/>
    <x v="1"/>
    <x v="2"/>
    <s v="Electronics"/>
    <n v="5"/>
    <n v="4315"/>
    <n v="3042"/>
    <n v="1273"/>
    <x v="4"/>
  </r>
  <r>
    <s v="ORD0084"/>
    <s v="2024-06-28"/>
    <x v="3"/>
    <x v="0"/>
    <x v="0"/>
    <s v="Electronics"/>
    <n v="2"/>
    <n v="798"/>
    <n v="479"/>
    <n v="319"/>
    <x v="8"/>
  </r>
  <r>
    <s v="ORD0085"/>
    <s v="2024-01-17"/>
    <x v="0"/>
    <x v="5"/>
    <x v="2"/>
    <s v="Electronics"/>
    <n v="3"/>
    <n v="3057"/>
    <n v="1965"/>
    <n v="1092"/>
    <x v="3"/>
  </r>
  <r>
    <s v="ORD0086"/>
    <s v="2024-05-20"/>
    <x v="0"/>
    <x v="3"/>
    <x v="1"/>
    <s v="Accessories"/>
    <n v="1"/>
    <n v="1157"/>
    <n v="904"/>
    <n v="253"/>
    <x v="11"/>
  </r>
  <r>
    <s v="ORD0087"/>
    <s v="2024-12-27"/>
    <x v="0"/>
    <x v="4"/>
    <x v="3"/>
    <s v="Accessories"/>
    <n v="3"/>
    <n v="3564"/>
    <n v="2335"/>
    <n v="1229"/>
    <x v="2"/>
  </r>
  <r>
    <s v="ORD0088"/>
    <s v="2024-01-19"/>
    <x v="0"/>
    <x v="1"/>
    <x v="3"/>
    <s v="Accessories"/>
    <n v="4"/>
    <n v="2896"/>
    <n v="2167"/>
    <n v="729"/>
    <x v="3"/>
  </r>
  <r>
    <s v="ORD0089"/>
    <s v="2024-02-15"/>
    <x v="1"/>
    <x v="1"/>
    <x v="1"/>
    <s v="Accessories"/>
    <n v="5"/>
    <n v="3100"/>
    <n v="1913"/>
    <n v="1187"/>
    <x v="1"/>
  </r>
  <r>
    <s v="ORD0090"/>
    <s v="2024-03-10"/>
    <x v="2"/>
    <x v="0"/>
    <x v="2"/>
    <s v="Electronics"/>
    <n v="1"/>
    <n v="408"/>
    <n v="269"/>
    <n v="139"/>
    <x v="0"/>
  </r>
  <r>
    <s v="ORD0091"/>
    <s v="2024-10-20"/>
    <x v="3"/>
    <x v="4"/>
    <x v="1"/>
    <s v="Accessories"/>
    <n v="5"/>
    <n v="1200"/>
    <n v="823"/>
    <n v="377"/>
    <x v="5"/>
  </r>
  <r>
    <s v="ORD0092"/>
    <s v="2024-05-08"/>
    <x v="3"/>
    <x v="5"/>
    <x v="2"/>
    <s v="Electronics"/>
    <n v="5"/>
    <n v="1025"/>
    <n v="745"/>
    <n v="280"/>
    <x v="11"/>
  </r>
  <r>
    <s v="ORD0093"/>
    <s v="2024-06-13"/>
    <x v="1"/>
    <x v="0"/>
    <x v="5"/>
    <s v="Accessories"/>
    <n v="2"/>
    <n v="466"/>
    <n v="296"/>
    <n v="170"/>
    <x v="8"/>
  </r>
  <r>
    <s v="ORD0094"/>
    <s v="2024-06-09"/>
    <x v="3"/>
    <x v="4"/>
    <x v="5"/>
    <s v="Accessories"/>
    <n v="2"/>
    <n v="1380"/>
    <n v="907"/>
    <n v="473"/>
    <x v="8"/>
  </r>
  <r>
    <s v="ORD0095"/>
    <s v="2024-04-13"/>
    <x v="3"/>
    <x v="0"/>
    <x v="3"/>
    <s v="Accessories"/>
    <n v="4"/>
    <n v="2552"/>
    <n v="1969"/>
    <n v="583"/>
    <x v="4"/>
  </r>
  <r>
    <s v="ORD0096"/>
    <s v="2024-08-09"/>
    <x v="2"/>
    <x v="1"/>
    <x v="0"/>
    <s v="Electronics"/>
    <n v="2"/>
    <n v="1204"/>
    <n v="808"/>
    <n v="396"/>
    <x v="10"/>
  </r>
  <r>
    <s v="ORD0097"/>
    <s v="2024-12-28"/>
    <x v="0"/>
    <x v="0"/>
    <x v="0"/>
    <s v="Electronics"/>
    <n v="1"/>
    <n v="739"/>
    <n v="450"/>
    <n v="289"/>
    <x v="2"/>
  </r>
  <r>
    <s v="ORD0098"/>
    <s v="2024-06-03"/>
    <x v="0"/>
    <x v="2"/>
    <x v="1"/>
    <s v="Accessories"/>
    <n v="2"/>
    <n v="424"/>
    <n v="258"/>
    <n v="166"/>
    <x v="8"/>
  </r>
  <r>
    <s v="ORD0099"/>
    <s v="2024-04-22"/>
    <x v="2"/>
    <x v="2"/>
    <x v="0"/>
    <s v="Electronics"/>
    <n v="4"/>
    <n v="1996"/>
    <n v="1398"/>
    <n v="598"/>
    <x v="4"/>
  </r>
  <r>
    <s v="ORD0100"/>
    <s v="2024-04-11"/>
    <x v="0"/>
    <x v="0"/>
    <x v="1"/>
    <s v="Accessories"/>
    <n v="1"/>
    <n v="636"/>
    <n v="458"/>
    <n v="178"/>
    <x v="4"/>
  </r>
  <r>
    <s v="ORD0101"/>
    <s v="2024-05-07"/>
    <x v="2"/>
    <x v="3"/>
    <x v="3"/>
    <s v="Accessories"/>
    <n v="4"/>
    <n v="772"/>
    <n v="489"/>
    <n v="283"/>
    <x v="11"/>
  </r>
  <r>
    <s v="ORD0102"/>
    <s v="2024-11-10"/>
    <x v="0"/>
    <x v="0"/>
    <x v="0"/>
    <s v="Electronics"/>
    <n v="2"/>
    <n v="2228"/>
    <n v="1658"/>
    <n v="570"/>
    <x v="7"/>
  </r>
  <r>
    <s v="ORD0103"/>
    <s v="2024-08-03"/>
    <x v="0"/>
    <x v="0"/>
    <x v="4"/>
    <s v="Electronics"/>
    <n v="3"/>
    <n v="2616"/>
    <n v="2005"/>
    <n v="611"/>
    <x v="10"/>
  </r>
  <r>
    <s v="ORD0104"/>
    <s v="2024-10-20"/>
    <x v="1"/>
    <x v="1"/>
    <x v="2"/>
    <s v="Electronics"/>
    <n v="4"/>
    <n v="1072"/>
    <n v="661"/>
    <n v="411"/>
    <x v="5"/>
  </r>
  <r>
    <s v="ORD0105"/>
    <s v="2024-06-29"/>
    <x v="3"/>
    <x v="0"/>
    <x v="4"/>
    <s v="Electronics"/>
    <n v="4"/>
    <n v="4216"/>
    <n v="2967"/>
    <n v="1249"/>
    <x v="8"/>
  </r>
  <r>
    <s v="ORD0106"/>
    <s v="2024-05-12"/>
    <x v="0"/>
    <x v="2"/>
    <x v="3"/>
    <s v="Accessories"/>
    <n v="4"/>
    <n v="1864"/>
    <n v="1156"/>
    <n v="708"/>
    <x v="11"/>
  </r>
  <r>
    <s v="ORD0107"/>
    <s v="2024-10-02"/>
    <x v="2"/>
    <x v="1"/>
    <x v="5"/>
    <s v="Accessories"/>
    <n v="2"/>
    <n v="848"/>
    <n v="600"/>
    <n v="248"/>
    <x v="5"/>
  </r>
  <r>
    <s v="ORD0108"/>
    <s v="2024-01-01"/>
    <x v="1"/>
    <x v="5"/>
    <x v="5"/>
    <s v="Accessories"/>
    <n v="4"/>
    <n v="1724"/>
    <n v="1265"/>
    <n v="459"/>
    <x v="3"/>
  </r>
  <r>
    <s v="ORD0109"/>
    <s v="2024-01-11"/>
    <x v="1"/>
    <x v="4"/>
    <x v="3"/>
    <s v="Accessories"/>
    <n v="4"/>
    <n v="416"/>
    <n v="302"/>
    <n v="114"/>
    <x v="3"/>
  </r>
  <r>
    <s v="ORD0110"/>
    <s v="2024-07-13"/>
    <x v="1"/>
    <x v="4"/>
    <x v="5"/>
    <s v="Accessories"/>
    <n v="1"/>
    <n v="1063"/>
    <n v="800"/>
    <n v="263"/>
    <x v="6"/>
  </r>
  <r>
    <s v="ORD0111"/>
    <s v="2024-05-02"/>
    <x v="0"/>
    <x v="1"/>
    <x v="5"/>
    <s v="Accessories"/>
    <n v="2"/>
    <n v="874"/>
    <n v="532"/>
    <n v="342"/>
    <x v="11"/>
  </r>
  <r>
    <s v="ORD0112"/>
    <s v="2024-10-05"/>
    <x v="1"/>
    <x v="5"/>
    <x v="5"/>
    <s v="Accessories"/>
    <n v="5"/>
    <n v="2340"/>
    <n v="1779"/>
    <n v="561"/>
    <x v="5"/>
  </r>
  <r>
    <s v="ORD0113"/>
    <s v="2024-09-19"/>
    <x v="0"/>
    <x v="5"/>
    <x v="1"/>
    <s v="Accessories"/>
    <n v="3"/>
    <n v="2751"/>
    <n v="2043"/>
    <n v="708"/>
    <x v="9"/>
  </r>
  <r>
    <s v="ORD0114"/>
    <s v="2024-02-10"/>
    <x v="0"/>
    <x v="2"/>
    <x v="1"/>
    <s v="Accessories"/>
    <n v="4"/>
    <n v="2556"/>
    <n v="1788"/>
    <n v="768"/>
    <x v="1"/>
  </r>
  <r>
    <s v="ORD0115"/>
    <s v="2024-12-23"/>
    <x v="2"/>
    <x v="2"/>
    <x v="3"/>
    <s v="Accessories"/>
    <n v="5"/>
    <n v="3445"/>
    <n v="2580"/>
    <n v="865"/>
    <x v="2"/>
  </r>
  <r>
    <s v="ORD0116"/>
    <s v="2024-07-02"/>
    <x v="0"/>
    <x v="5"/>
    <x v="3"/>
    <s v="Accessories"/>
    <n v="3"/>
    <n v="1842"/>
    <n v="1450"/>
    <n v="392"/>
    <x v="6"/>
  </r>
  <r>
    <s v="ORD0117"/>
    <s v="2024-01-09"/>
    <x v="2"/>
    <x v="1"/>
    <x v="5"/>
    <s v="Accessories"/>
    <n v="2"/>
    <n v="1048"/>
    <n v="812"/>
    <n v="236"/>
    <x v="3"/>
  </r>
  <r>
    <s v="ORD0118"/>
    <s v="2024-01-08"/>
    <x v="3"/>
    <x v="3"/>
    <x v="0"/>
    <s v="Electronics"/>
    <n v="5"/>
    <n v="2475"/>
    <n v="1703"/>
    <n v="772"/>
    <x v="3"/>
  </r>
  <r>
    <s v="ORD0119"/>
    <s v="2024-06-03"/>
    <x v="3"/>
    <x v="4"/>
    <x v="5"/>
    <s v="Accessories"/>
    <n v="2"/>
    <n v="1608"/>
    <n v="997"/>
    <n v="611"/>
    <x v="8"/>
  </r>
  <r>
    <s v="ORD0120"/>
    <s v="2024-10-13"/>
    <x v="2"/>
    <x v="0"/>
    <x v="3"/>
    <s v="Accessories"/>
    <n v="3"/>
    <n v="2196"/>
    <n v="1648"/>
    <n v="548"/>
    <x v="5"/>
  </r>
  <r>
    <s v="ORD0121"/>
    <s v="2024-12-19"/>
    <x v="3"/>
    <x v="4"/>
    <x v="3"/>
    <s v="Accessories"/>
    <n v="3"/>
    <n v="594"/>
    <n v="393"/>
    <n v="201"/>
    <x v="2"/>
  </r>
  <r>
    <s v="ORD0122"/>
    <s v="2024-07-01"/>
    <x v="0"/>
    <x v="0"/>
    <x v="1"/>
    <s v="Accessories"/>
    <n v="5"/>
    <n v="1885"/>
    <n v="1221"/>
    <n v="664"/>
    <x v="6"/>
  </r>
  <r>
    <s v="ORD0123"/>
    <s v="2024-09-17"/>
    <x v="2"/>
    <x v="3"/>
    <x v="4"/>
    <s v="Electronics"/>
    <n v="3"/>
    <n v="2712"/>
    <n v="1984"/>
    <n v="728"/>
    <x v="9"/>
  </r>
  <r>
    <s v="ORD0124"/>
    <s v="2024-12-26"/>
    <x v="3"/>
    <x v="4"/>
    <x v="5"/>
    <s v="Accessories"/>
    <n v="2"/>
    <n v="1494"/>
    <n v="1013"/>
    <n v="481"/>
    <x v="2"/>
  </r>
  <r>
    <s v="ORD0125"/>
    <s v="2024-03-17"/>
    <x v="0"/>
    <x v="2"/>
    <x v="5"/>
    <s v="Accessories"/>
    <n v="2"/>
    <n v="236"/>
    <n v="178"/>
    <n v="58"/>
    <x v="0"/>
  </r>
  <r>
    <s v="ORD0126"/>
    <s v="2024-01-28"/>
    <x v="3"/>
    <x v="5"/>
    <x v="0"/>
    <s v="Electronics"/>
    <n v="5"/>
    <n v="5980"/>
    <n v="3898"/>
    <n v="2082"/>
    <x v="3"/>
  </r>
  <r>
    <s v="ORD0127"/>
    <s v="2024-05-28"/>
    <x v="2"/>
    <x v="5"/>
    <x v="5"/>
    <s v="Accessories"/>
    <n v="4"/>
    <n v="1868"/>
    <n v="1314"/>
    <n v="554"/>
    <x v="11"/>
  </r>
  <r>
    <s v="ORD0128"/>
    <s v="2024-07-09"/>
    <x v="0"/>
    <x v="5"/>
    <x v="4"/>
    <s v="Electronics"/>
    <n v="3"/>
    <n v="1875"/>
    <n v="1220"/>
    <n v="655"/>
    <x v="6"/>
  </r>
  <r>
    <s v="ORD0129"/>
    <s v="2024-11-12"/>
    <x v="1"/>
    <x v="3"/>
    <x v="1"/>
    <s v="Accessories"/>
    <n v="3"/>
    <n v="3351"/>
    <n v="2647"/>
    <n v="704"/>
    <x v="7"/>
  </r>
  <r>
    <s v="ORD0130"/>
    <s v="2024-01-29"/>
    <x v="3"/>
    <x v="0"/>
    <x v="2"/>
    <s v="Electronics"/>
    <n v="2"/>
    <n v="1024"/>
    <n v="749"/>
    <n v="275"/>
    <x v="3"/>
  </r>
  <r>
    <s v="ORD0131"/>
    <s v="2024-08-31"/>
    <x v="2"/>
    <x v="1"/>
    <x v="3"/>
    <s v="Accessories"/>
    <n v="1"/>
    <n v="432"/>
    <n v="286"/>
    <n v="146"/>
    <x v="10"/>
  </r>
  <r>
    <s v="ORD0132"/>
    <s v="2024-04-07"/>
    <x v="0"/>
    <x v="1"/>
    <x v="4"/>
    <s v="Electronics"/>
    <n v="4"/>
    <n v="3504"/>
    <n v="2524"/>
    <n v="980"/>
    <x v="4"/>
  </r>
  <r>
    <s v="ORD0133"/>
    <s v="2024-08-08"/>
    <x v="0"/>
    <x v="1"/>
    <x v="3"/>
    <s v="Accessories"/>
    <n v="4"/>
    <n v="2480"/>
    <n v="1731"/>
    <n v="749"/>
    <x v="10"/>
  </r>
  <r>
    <s v="ORD0134"/>
    <s v="2024-10-11"/>
    <x v="2"/>
    <x v="2"/>
    <x v="0"/>
    <s v="Electronics"/>
    <n v="4"/>
    <n v="1756"/>
    <n v="1182"/>
    <n v="574"/>
    <x v="5"/>
  </r>
  <r>
    <s v="ORD0135"/>
    <s v="2024-03-10"/>
    <x v="2"/>
    <x v="3"/>
    <x v="2"/>
    <s v="Electronics"/>
    <n v="3"/>
    <n v="2409"/>
    <n v="1923"/>
    <n v="486"/>
    <x v="0"/>
  </r>
  <r>
    <s v="ORD0136"/>
    <s v="2024-05-25"/>
    <x v="0"/>
    <x v="1"/>
    <x v="4"/>
    <s v="Electronics"/>
    <n v="1"/>
    <n v="530"/>
    <n v="379"/>
    <n v="151"/>
    <x v="11"/>
  </r>
  <r>
    <s v="ORD0137"/>
    <s v="2024-07-29"/>
    <x v="3"/>
    <x v="5"/>
    <x v="5"/>
    <s v="Accessories"/>
    <n v="1"/>
    <n v="587"/>
    <n v="427"/>
    <n v="160"/>
    <x v="6"/>
  </r>
  <r>
    <s v="ORD0138"/>
    <s v="2024-07-19"/>
    <x v="0"/>
    <x v="1"/>
    <x v="5"/>
    <s v="Accessories"/>
    <n v="3"/>
    <n v="471"/>
    <n v="342"/>
    <n v="129"/>
    <x v="6"/>
  </r>
  <r>
    <s v="ORD0139"/>
    <s v="2024-04-30"/>
    <x v="2"/>
    <x v="1"/>
    <x v="5"/>
    <s v="Accessories"/>
    <n v="4"/>
    <n v="1200"/>
    <n v="809"/>
    <n v="391"/>
    <x v="4"/>
  </r>
  <r>
    <s v="ORD0140"/>
    <s v="2024-06-18"/>
    <x v="0"/>
    <x v="1"/>
    <x v="5"/>
    <s v="Accessories"/>
    <n v="2"/>
    <n v="2088"/>
    <n v="1428"/>
    <n v="660"/>
    <x v="8"/>
  </r>
  <r>
    <s v="ORD0141"/>
    <s v="2024-05-01"/>
    <x v="3"/>
    <x v="3"/>
    <x v="0"/>
    <s v="Electronics"/>
    <n v="1"/>
    <n v="481"/>
    <n v="368"/>
    <n v="113"/>
    <x v="11"/>
  </r>
  <r>
    <s v="ORD0142"/>
    <s v="2024-02-26"/>
    <x v="2"/>
    <x v="2"/>
    <x v="1"/>
    <s v="Accessories"/>
    <n v="4"/>
    <n v="2656"/>
    <n v="1627"/>
    <n v="1029"/>
    <x v="1"/>
  </r>
  <r>
    <s v="ORD0143"/>
    <s v="2024-08-12"/>
    <x v="0"/>
    <x v="3"/>
    <x v="3"/>
    <s v="Accessories"/>
    <n v="5"/>
    <n v="4970"/>
    <n v="3085"/>
    <n v="1885"/>
    <x v="10"/>
  </r>
  <r>
    <s v="ORD0144"/>
    <s v="2024-10-10"/>
    <x v="3"/>
    <x v="3"/>
    <x v="2"/>
    <s v="Electronics"/>
    <n v="5"/>
    <n v="1740"/>
    <n v="1344"/>
    <n v="396"/>
    <x v="5"/>
  </r>
  <r>
    <s v="ORD0145"/>
    <s v="2024-11-25"/>
    <x v="3"/>
    <x v="1"/>
    <x v="0"/>
    <s v="Electronics"/>
    <n v="1"/>
    <n v="302"/>
    <n v="241"/>
    <n v="61"/>
    <x v="7"/>
  </r>
  <r>
    <s v="ORD0146"/>
    <s v="2024-02-23"/>
    <x v="2"/>
    <x v="4"/>
    <x v="3"/>
    <s v="Accessories"/>
    <n v="5"/>
    <n v="1160"/>
    <n v="927"/>
    <n v="233"/>
    <x v="1"/>
  </r>
  <r>
    <s v="ORD0147"/>
    <s v="2024-09-23"/>
    <x v="0"/>
    <x v="4"/>
    <x v="4"/>
    <s v="Electronics"/>
    <n v="5"/>
    <n v="2485"/>
    <n v="1914"/>
    <n v="571"/>
    <x v="9"/>
  </r>
  <r>
    <s v="ORD0148"/>
    <s v="2024-09-21"/>
    <x v="1"/>
    <x v="1"/>
    <x v="3"/>
    <s v="Accessories"/>
    <n v="1"/>
    <n v="814"/>
    <n v="542"/>
    <n v="272"/>
    <x v="9"/>
  </r>
  <r>
    <s v="ORD0149"/>
    <s v="2024-04-26"/>
    <x v="2"/>
    <x v="4"/>
    <x v="1"/>
    <s v="Accessories"/>
    <n v="3"/>
    <n v="1665"/>
    <n v="1073"/>
    <n v="592"/>
    <x v="4"/>
  </r>
  <r>
    <s v="ORD0150"/>
    <s v="2024-03-08"/>
    <x v="3"/>
    <x v="2"/>
    <x v="4"/>
    <s v="Electronics"/>
    <n v="4"/>
    <n v="1044"/>
    <n v="719"/>
    <n v="325"/>
    <x v="0"/>
  </r>
  <r>
    <s v="ORD0151"/>
    <s v="2024-06-08"/>
    <x v="2"/>
    <x v="5"/>
    <x v="2"/>
    <s v="Electronics"/>
    <n v="1"/>
    <n v="796"/>
    <n v="531"/>
    <n v="265"/>
    <x v="8"/>
  </r>
  <r>
    <s v="ORD0152"/>
    <s v="2024-12-07"/>
    <x v="0"/>
    <x v="3"/>
    <x v="0"/>
    <s v="Electronics"/>
    <n v="4"/>
    <n v="2424"/>
    <n v="1461"/>
    <n v="963"/>
    <x v="2"/>
  </r>
  <r>
    <s v="ORD0153"/>
    <s v="2024-07-03"/>
    <x v="2"/>
    <x v="5"/>
    <x v="4"/>
    <s v="Electronics"/>
    <n v="3"/>
    <n v="3534"/>
    <n v="2761"/>
    <n v="773"/>
    <x v="6"/>
  </r>
  <r>
    <s v="ORD0154"/>
    <s v="2024-10-13"/>
    <x v="3"/>
    <x v="0"/>
    <x v="4"/>
    <s v="Electronics"/>
    <n v="2"/>
    <n v="1380"/>
    <n v="844"/>
    <n v="536"/>
    <x v="5"/>
  </r>
  <r>
    <s v="ORD0155"/>
    <s v="2024-02-10"/>
    <x v="1"/>
    <x v="0"/>
    <x v="3"/>
    <s v="Accessories"/>
    <n v="1"/>
    <n v="553"/>
    <n v="409"/>
    <n v="144"/>
    <x v="1"/>
  </r>
  <r>
    <s v="ORD0156"/>
    <s v="2024-12-09"/>
    <x v="2"/>
    <x v="2"/>
    <x v="0"/>
    <s v="Electronics"/>
    <n v="2"/>
    <n v="1472"/>
    <n v="956"/>
    <n v="516"/>
    <x v="2"/>
  </r>
  <r>
    <s v="ORD0157"/>
    <s v="2024-09-04"/>
    <x v="0"/>
    <x v="1"/>
    <x v="2"/>
    <s v="Electronics"/>
    <n v="4"/>
    <n v="3572"/>
    <n v="2687"/>
    <n v="885"/>
    <x v="9"/>
  </r>
  <r>
    <s v="ORD0158"/>
    <s v="2024-03-04"/>
    <x v="2"/>
    <x v="5"/>
    <x v="2"/>
    <s v="Electronics"/>
    <n v="4"/>
    <n v="3184"/>
    <n v="2271"/>
    <n v="913"/>
    <x v="0"/>
  </r>
  <r>
    <s v="ORD0159"/>
    <s v="2024-10-21"/>
    <x v="1"/>
    <x v="0"/>
    <x v="1"/>
    <s v="Accessories"/>
    <n v="2"/>
    <n v="1168"/>
    <n v="799"/>
    <n v="369"/>
    <x v="5"/>
  </r>
  <r>
    <s v="ORD0160"/>
    <s v="2024-04-03"/>
    <x v="2"/>
    <x v="3"/>
    <x v="2"/>
    <s v="Electronics"/>
    <n v="4"/>
    <n v="1844"/>
    <n v="1120"/>
    <n v="724"/>
    <x v="4"/>
  </r>
  <r>
    <s v="ORD0161"/>
    <s v="2024-02-01"/>
    <x v="1"/>
    <x v="4"/>
    <x v="1"/>
    <s v="Accessories"/>
    <n v="3"/>
    <n v="1185"/>
    <n v="865"/>
    <n v="320"/>
    <x v="1"/>
  </r>
  <r>
    <s v="ORD0162"/>
    <s v="2024-05-10"/>
    <x v="3"/>
    <x v="1"/>
    <x v="5"/>
    <s v="Accessories"/>
    <n v="5"/>
    <n v="620"/>
    <n v="382"/>
    <n v="238"/>
    <x v="11"/>
  </r>
  <r>
    <s v="ORD0163"/>
    <s v="2024-07-01"/>
    <x v="1"/>
    <x v="1"/>
    <x v="5"/>
    <s v="Accessories"/>
    <n v="2"/>
    <n v="1024"/>
    <n v="794"/>
    <n v="230"/>
    <x v="6"/>
  </r>
  <r>
    <s v="ORD0164"/>
    <s v="2024-11-20"/>
    <x v="1"/>
    <x v="3"/>
    <x v="4"/>
    <s v="Electronics"/>
    <n v="5"/>
    <n v="3795"/>
    <n v="2914"/>
    <n v="881"/>
    <x v="7"/>
  </r>
  <r>
    <s v="ORD0165"/>
    <s v="2024-11-26"/>
    <x v="2"/>
    <x v="3"/>
    <x v="2"/>
    <s v="Electronics"/>
    <n v="5"/>
    <n v="3425"/>
    <n v="2303"/>
    <n v="1122"/>
    <x v="7"/>
  </r>
  <r>
    <s v="ORD0166"/>
    <s v="2024-06-13"/>
    <x v="1"/>
    <x v="2"/>
    <x v="0"/>
    <s v="Electronics"/>
    <n v="3"/>
    <n v="405"/>
    <n v="301"/>
    <n v="104"/>
    <x v="8"/>
  </r>
  <r>
    <s v="ORD0167"/>
    <s v="2024-05-20"/>
    <x v="1"/>
    <x v="3"/>
    <x v="2"/>
    <s v="Electronics"/>
    <n v="5"/>
    <n v="5830"/>
    <n v="3742"/>
    <n v="2088"/>
    <x v="11"/>
  </r>
  <r>
    <s v="ORD0168"/>
    <s v="2024-04-10"/>
    <x v="1"/>
    <x v="1"/>
    <x v="4"/>
    <s v="Electronics"/>
    <n v="2"/>
    <n v="2176"/>
    <n v="1317"/>
    <n v="859"/>
    <x v="4"/>
  </r>
  <r>
    <s v="ORD0169"/>
    <s v="2024-05-22"/>
    <x v="3"/>
    <x v="0"/>
    <x v="3"/>
    <s v="Accessories"/>
    <n v="5"/>
    <n v="650"/>
    <n v="436"/>
    <n v="214"/>
    <x v="11"/>
  </r>
  <r>
    <s v="ORD0170"/>
    <s v="2024-11-04"/>
    <x v="2"/>
    <x v="3"/>
    <x v="3"/>
    <s v="Accessories"/>
    <n v="2"/>
    <n v="774"/>
    <n v="558"/>
    <n v="216"/>
    <x v="7"/>
  </r>
  <r>
    <s v="ORD0171"/>
    <s v="2024-02-28"/>
    <x v="2"/>
    <x v="1"/>
    <x v="1"/>
    <s v="Accessories"/>
    <n v="1"/>
    <n v="727"/>
    <n v="510"/>
    <n v="217"/>
    <x v="1"/>
  </r>
  <r>
    <s v="ORD0172"/>
    <s v="2024-02-28"/>
    <x v="2"/>
    <x v="4"/>
    <x v="0"/>
    <s v="Electronics"/>
    <n v="3"/>
    <n v="3030"/>
    <n v="2039"/>
    <n v="991"/>
    <x v="1"/>
  </r>
  <r>
    <s v="ORD0173"/>
    <s v="2024-05-16"/>
    <x v="3"/>
    <x v="0"/>
    <x v="0"/>
    <s v="Electronics"/>
    <n v="1"/>
    <n v="305"/>
    <n v="209"/>
    <n v="96"/>
    <x v="11"/>
  </r>
  <r>
    <s v="ORD0174"/>
    <s v="2024-07-23"/>
    <x v="0"/>
    <x v="0"/>
    <x v="5"/>
    <s v="Accessories"/>
    <n v="2"/>
    <n v="1012"/>
    <n v="776"/>
    <n v="236"/>
    <x v="6"/>
  </r>
  <r>
    <s v="ORD0175"/>
    <s v="2024-08-27"/>
    <x v="2"/>
    <x v="4"/>
    <x v="1"/>
    <s v="Accessories"/>
    <n v="3"/>
    <n v="2028"/>
    <n v="1592"/>
    <n v="436"/>
    <x v="10"/>
  </r>
  <r>
    <s v="ORD0176"/>
    <s v="2024-11-29"/>
    <x v="1"/>
    <x v="2"/>
    <x v="2"/>
    <s v="Electronics"/>
    <n v="3"/>
    <n v="684"/>
    <n v="413"/>
    <n v="271"/>
    <x v="7"/>
  </r>
  <r>
    <s v="ORD0177"/>
    <s v="2024-03-10"/>
    <x v="1"/>
    <x v="1"/>
    <x v="4"/>
    <s v="Electronics"/>
    <n v="4"/>
    <n v="2392"/>
    <n v="1444"/>
    <n v="948"/>
    <x v="0"/>
  </r>
  <r>
    <s v="ORD0178"/>
    <s v="2024-07-19"/>
    <x v="1"/>
    <x v="5"/>
    <x v="4"/>
    <s v="Electronics"/>
    <n v="5"/>
    <n v="3075"/>
    <n v="2428"/>
    <n v="647"/>
    <x v="6"/>
  </r>
  <r>
    <s v="ORD0179"/>
    <s v="2024-07-10"/>
    <x v="1"/>
    <x v="4"/>
    <x v="4"/>
    <s v="Electronics"/>
    <n v="5"/>
    <n v="3150"/>
    <n v="1903"/>
    <n v="1247"/>
    <x v="6"/>
  </r>
  <r>
    <s v="ORD0180"/>
    <s v="2024-12-21"/>
    <x v="3"/>
    <x v="5"/>
    <x v="2"/>
    <s v="Electronics"/>
    <n v="1"/>
    <n v="146"/>
    <n v="95"/>
    <n v="51"/>
    <x v="2"/>
  </r>
  <r>
    <s v="ORD0181"/>
    <s v="2024-08-18"/>
    <x v="3"/>
    <x v="4"/>
    <x v="0"/>
    <s v="Electronics"/>
    <n v="5"/>
    <n v="1050"/>
    <n v="804"/>
    <n v="246"/>
    <x v="10"/>
  </r>
  <r>
    <s v="ORD0182"/>
    <s v="2024-09-06"/>
    <x v="2"/>
    <x v="0"/>
    <x v="3"/>
    <s v="Accessories"/>
    <n v="5"/>
    <n v="4705"/>
    <n v="3038"/>
    <n v="1667"/>
    <x v="9"/>
  </r>
  <r>
    <s v="ORD0183"/>
    <s v="2024-07-08"/>
    <x v="0"/>
    <x v="0"/>
    <x v="2"/>
    <s v="Electronics"/>
    <n v="1"/>
    <n v="947"/>
    <n v="640"/>
    <n v="307"/>
    <x v="6"/>
  </r>
  <r>
    <s v="ORD0184"/>
    <s v="2024-03-16"/>
    <x v="3"/>
    <x v="0"/>
    <x v="2"/>
    <s v="Electronics"/>
    <n v="3"/>
    <n v="738"/>
    <n v="460"/>
    <n v="278"/>
    <x v="0"/>
  </r>
  <r>
    <s v="ORD0185"/>
    <s v="2024-01-13"/>
    <x v="3"/>
    <x v="1"/>
    <x v="4"/>
    <s v="Electronics"/>
    <n v="2"/>
    <n v="2266"/>
    <n v="1417"/>
    <n v="849"/>
    <x v="3"/>
  </r>
  <r>
    <s v="ORD0186"/>
    <s v="2024-11-19"/>
    <x v="0"/>
    <x v="1"/>
    <x v="3"/>
    <s v="Accessories"/>
    <n v="1"/>
    <n v="917"/>
    <n v="698"/>
    <n v="219"/>
    <x v="7"/>
  </r>
  <r>
    <s v="ORD0187"/>
    <s v="2024-05-15"/>
    <x v="2"/>
    <x v="4"/>
    <x v="1"/>
    <s v="Accessories"/>
    <n v="4"/>
    <n v="544"/>
    <n v="368"/>
    <n v="176"/>
    <x v="11"/>
  </r>
  <r>
    <s v="ORD0188"/>
    <s v="2024-09-10"/>
    <x v="0"/>
    <x v="5"/>
    <x v="4"/>
    <s v="Electronics"/>
    <n v="1"/>
    <n v="586"/>
    <n v="382"/>
    <n v="204"/>
    <x v="9"/>
  </r>
  <r>
    <s v="ORD0189"/>
    <s v="2024-05-06"/>
    <x v="2"/>
    <x v="5"/>
    <x v="3"/>
    <s v="Accessories"/>
    <n v="3"/>
    <n v="2178"/>
    <n v="1522"/>
    <n v="656"/>
    <x v="11"/>
  </r>
  <r>
    <s v="ORD0190"/>
    <s v="2024-07-19"/>
    <x v="0"/>
    <x v="2"/>
    <x v="3"/>
    <s v="Accessories"/>
    <n v="3"/>
    <n v="1437"/>
    <n v="926"/>
    <n v="511"/>
    <x v="6"/>
  </r>
  <r>
    <s v="ORD0191"/>
    <s v="2024-05-03"/>
    <x v="0"/>
    <x v="3"/>
    <x v="0"/>
    <s v="Electronics"/>
    <n v="5"/>
    <n v="5130"/>
    <n v="3194"/>
    <n v="1936"/>
    <x v="11"/>
  </r>
  <r>
    <s v="ORD0192"/>
    <s v="2024-10-05"/>
    <x v="2"/>
    <x v="2"/>
    <x v="1"/>
    <s v="Accessories"/>
    <n v="4"/>
    <n v="2124"/>
    <n v="1340"/>
    <n v="784"/>
    <x v="5"/>
  </r>
  <r>
    <s v="ORD0193"/>
    <s v="2024-02-21"/>
    <x v="2"/>
    <x v="2"/>
    <x v="1"/>
    <s v="Accessories"/>
    <n v="3"/>
    <n v="1305"/>
    <n v="904"/>
    <n v="401"/>
    <x v="1"/>
  </r>
  <r>
    <s v="ORD0194"/>
    <s v="2024-01-06"/>
    <x v="2"/>
    <x v="2"/>
    <x v="0"/>
    <s v="Electronics"/>
    <n v="2"/>
    <n v="2250"/>
    <n v="1692"/>
    <n v="558"/>
    <x v="3"/>
  </r>
  <r>
    <s v="ORD0195"/>
    <s v="2024-12-16"/>
    <x v="2"/>
    <x v="1"/>
    <x v="1"/>
    <s v="Accessories"/>
    <n v="3"/>
    <n v="1923"/>
    <n v="1436"/>
    <n v="487"/>
    <x v="2"/>
  </r>
  <r>
    <s v="ORD0196"/>
    <s v="2024-10-29"/>
    <x v="2"/>
    <x v="3"/>
    <x v="3"/>
    <s v="Accessories"/>
    <n v="5"/>
    <n v="1835"/>
    <n v="1448"/>
    <n v="387"/>
    <x v="5"/>
  </r>
  <r>
    <s v="ORD0197"/>
    <s v="2024-08-30"/>
    <x v="3"/>
    <x v="2"/>
    <x v="5"/>
    <s v="Accessories"/>
    <n v="1"/>
    <n v="107"/>
    <n v="81"/>
    <n v="26"/>
    <x v="10"/>
  </r>
  <r>
    <s v="ORD0198"/>
    <s v="2024-06-21"/>
    <x v="0"/>
    <x v="1"/>
    <x v="2"/>
    <s v="Electronics"/>
    <n v="3"/>
    <n v="1086"/>
    <n v="845"/>
    <n v="241"/>
    <x v="8"/>
  </r>
  <r>
    <s v="ORD0199"/>
    <s v="2024-08-06"/>
    <x v="1"/>
    <x v="1"/>
    <x v="1"/>
    <s v="Accessories"/>
    <n v="1"/>
    <n v="377"/>
    <n v="241"/>
    <n v="136"/>
    <x v="10"/>
  </r>
  <r>
    <s v="ORD0200"/>
    <s v="2024-07-21"/>
    <x v="3"/>
    <x v="3"/>
    <x v="1"/>
    <s v="Accessories"/>
    <n v="4"/>
    <n v="1984"/>
    <n v="1549"/>
    <n v="435"/>
    <x v="6"/>
  </r>
  <r>
    <s v="ORD0201"/>
    <s v="2024-07-27"/>
    <x v="3"/>
    <x v="4"/>
    <x v="1"/>
    <s v="Accessories"/>
    <n v="1"/>
    <n v="324"/>
    <n v="216"/>
    <n v="108"/>
    <x v="6"/>
  </r>
  <r>
    <s v="ORD0202"/>
    <s v="2024-03-06"/>
    <x v="1"/>
    <x v="4"/>
    <x v="2"/>
    <s v="Electronics"/>
    <n v="2"/>
    <n v="1636"/>
    <n v="1020"/>
    <n v="616"/>
    <x v="0"/>
  </r>
  <r>
    <s v="ORD0203"/>
    <s v="2024-08-27"/>
    <x v="3"/>
    <x v="1"/>
    <x v="4"/>
    <s v="Electronics"/>
    <n v="1"/>
    <n v="403"/>
    <n v="290"/>
    <n v="113"/>
    <x v="10"/>
  </r>
  <r>
    <s v="ORD0204"/>
    <s v="2024-03-22"/>
    <x v="3"/>
    <x v="5"/>
    <x v="4"/>
    <s v="Electronics"/>
    <n v="5"/>
    <n v="1410"/>
    <n v="942"/>
    <n v="468"/>
    <x v="0"/>
  </r>
  <r>
    <s v="ORD0205"/>
    <s v="2024-10-15"/>
    <x v="1"/>
    <x v="1"/>
    <x v="5"/>
    <s v="Accessories"/>
    <n v="3"/>
    <n v="1026"/>
    <n v="642"/>
    <n v="384"/>
    <x v="5"/>
  </r>
  <r>
    <s v="ORD0206"/>
    <s v="2024-01-08"/>
    <x v="2"/>
    <x v="3"/>
    <x v="1"/>
    <s v="Accessories"/>
    <n v="2"/>
    <n v="1614"/>
    <n v="1262"/>
    <n v="352"/>
    <x v="3"/>
  </r>
  <r>
    <s v="ORD0207"/>
    <s v="2024-04-27"/>
    <x v="2"/>
    <x v="3"/>
    <x v="5"/>
    <s v="Accessories"/>
    <n v="1"/>
    <n v="1182"/>
    <n v="772"/>
    <n v="410"/>
    <x v="4"/>
  </r>
  <r>
    <s v="ORD0208"/>
    <s v="2024-11-06"/>
    <x v="1"/>
    <x v="0"/>
    <x v="2"/>
    <s v="Electronics"/>
    <n v="4"/>
    <n v="2460"/>
    <n v="1833"/>
    <n v="627"/>
    <x v="7"/>
  </r>
  <r>
    <s v="ORD0209"/>
    <s v="2024-02-05"/>
    <x v="0"/>
    <x v="5"/>
    <x v="1"/>
    <s v="Accessories"/>
    <n v="4"/>
    <n v="2952"/>
    <n v="2065"/>
    <n v="887"/>
    <x v="1"/>
  </r>
  <r>
    <s v="ORD0210"/>
    <s v="2024-04-29"/>
    <x v="2"/>
    <x v="3"/>
    <x v="2"/>
    <s v="Electronics"/>
    <n v="5"/>
    <n v="1125"/>
    <n v="854"/>
    <n v="271"/>
    <x v="4"/>
  </r>
  <r>
    <s v="ORD0211"/>
    <s v="2024-07-28"/>
    <x v="0"/>
    <x v="5"/>
    <x v="1"/>
    <s v="Accessories"/>
    <n v="5"/>
    <n v="3020"/>
    <n v="2007"/>
    <n v="1013"/>
    <x v="6"/>
  </r>
  <r>
    <s v="ORD0212"/>
    <s v="2024-01-04"/>
    <x v="2"/>
    <x v="0"/>
    <x v="5"/>
    <s v="Accessories"/>
    <n v="3"/>
    <n v="2127"/>
    <n v="1668"/>
    <n v="459"/>
    <x v="3"/>
  </r>
  <r>
    <s v="ORD0213"/>
    <s v="2024-11-04"/>
    <x v="1"/>
    <x v="3"/>
    <x v="1"/>
    <s v="Accessories"/>
    <n v="1"/>
    <n v="800"/>
    <n v="542"/>
    <n v="258"/>
    <x v="7"/>
  </r>
  <r>
    <s v="ORD0214"/>
    <s v="2024-03-28"/>
    <x v="2"/>
    <x v="0"/>
    <x v="2"/>
    <s v="Electronics"/>
    <n v="3"/>
    <n v="2697"/>
    <n v="1642"/>
    <n v="1055"/>
    <x v="0"/>
  </r>
  <r>
    <s v="ORD0215"/>
    <s v="2024-08-12"/>
    <x v="1"/>
    <x v="1"/>
    <x v="0"/>
    <s v="Electronics"/>
    <n v="5"/>
    <n v="3805"/>
    <n v="2937"/>
    <n v="868"/>
    <x v="10"/>
  </r>
  <r>
    <s v="ORD0216"/>
    <s v="2024-12-01"/>
    <x v="1"/>
    <x v="1"/>
    <x v="3"/>
    <s v="Accessories"/>
    <n v="1"/>
    <n v="446"/>
    <n v="311"/>
    <n v="135"/>
    <x v="2"/>
  </r>
  <r>
    <s v="ORD0217"/>
    <s v="2024-03-27"/>
    <x v="3"/>
    <x v="3"/>
    <x v="1"/>
    <s v="Accessories"/>
    <n v="3"/>
    <n v="2523"/>
    <n v="1929"/>
    <n v="594"/>
    <x v="0"/>
  </r>
  <r>
    <s v="ORD0218"/>
    <s v="2024-11-28"/>
    <x v="1"/>
    <x v="1"/>
    <x v="4"/>
    <s v="Electronics"/>
    <n v="2"/>
    <n v="456"/>
    <n v="326"/>
    <n v="130"/>
    <x v="7"/>
  </r>
  <r>
    <s v="ORD0219"/>
    <s v="2024-04-08"/>
    <x v="2"/>
    <x v="0"/>
    <x v="2"/>
    <s v="Electronics"/>
    <n v="5"/>
    <n v="2025"/>
    <n v="1482"/>
    <n v="543"/>
    <x v="4"/>
  </r>
  <r>
    <s v="ORD0220"/>
    <s v="2024-12-13"/>
    <x v="2"/>
    <x v="5"/>
    <x v="2"/>
    <s v="Electronics"/>
    <n v="5"/>
    <n v="5085"/>
    <n v="3923"/>
    <n v="1162"/>
    <x v="2"/>
  </r>
  <r>
    <s v="ORD0221"/>
    <s v="2024-05-09"/>
    <x v="1"/>
    <x v="4"/>
    <x v="2"/>
    <s v="Electronics"/>
    <n v="3"/>
    <n v="2835"/>
    <n v="2150"/>
    <n v="685"/>
    <x v="11"/>
  </r>
  <r>
    <s v="ORD0222"/>
    <s v="2024-05-10"/>
    <x v="3"/>
    <x v="4"/>
    <x v="1"/>
    <s v="Accessories"/>
    <n v="3"/>
    <n v="2382"/>
    <n v="1664"/>
    <n v="718"/>
    <x v="11"/>
  </r>
  <r>
    <s v="ORD0223"/>
    <s v="2024-06-10"/>
    <x v="3"/>
    <x v="1"/>
    <x v="2"/>
    <s v="Electronics"/>
    <n v="2"/>
    <n v="2032"/>
    <n v="1604"/>
    <n v="428"/>
    <x v="8"/>
  </r>
  <r>
    <s v="ORD0224"/>
    <s v="2024-12-19"/>
    <x v="1"/>
    <x v="4"/>
    <x v="5"/>
    <s v="Accessories"/>
    <n v="3"/>
    <n v="1362"/>
    <n v="1078"/>
    <n v="284"/>
    <x v="2"/>
  </r>
  <r>
    <s v="ORD0225"/>
    <s v="2024-02-19"/>
    <x v="2"/>
    <x v="2"/>
    <x v="5"/>
    <s v="Accessories"/>
    <n v="2"/>
    <n v="2174"/>
    <n v="1603"/>
    <n v="571"/>
    <x v="1"/>
  </r>
  <r>
    <s v="ORD0226"/>
    <s v="2024-12-13"/>
    <x v="0"/>
    <x v="4"/>
    <x v="1"/>
    <s v="Accessories"/>
    <n v="2"/>
    <n v="1490"/>
    <n v="1165"/>
    <n v="325"/>
    <x v="2"/>
  </r>
  <r>
    <s v="ORD0227"/>
    <s v="2024-01-09"/>
    <x v="2"/>
    <x v="5"/>
    <x v="1"/>
    <s v="Accessories"/>
    <n v="1"/>
    <n v="808"/>
    <n v="546"/>
    <n v="262"/>
    <x v="3"/>
  </r>
  <r>
    <s v="ORD0228"/>
    <s v="2024-08-22"/>
    <x v="3"/>
    <x v="5"/>
    <x v="0"/>
    <s v="Electronics"/>
    <n v="5"/>
    <n v="985"/>
    <n v="614"/>
    <n v="371"/>
    <x v="10"/>
  </r>
  <r>
    <s v="ORD0229"/>
    <s v="2024-09-17"/>
    <x v="3"/>
    <x v="1"/>
    <x v="0"/>
    <s v="Electronics"/>
    <n v="2"/>
    <n v="1536"/>
    <n v="1212"/>
    <n v="324"/>
    <x v="9"/>
  </r>
  <r>
    <s v="ORD0230"/>
    <s v="2024-12-21"/>
    <x v="1"/>
    <x v="3"/>
    <x v="0"/>
    <s v="Electronics"/>
    <n v="5"/>
    <n v="1640"/>
    <n v="1067"/>
    <n v="573"/>
    <x v="2"/>
  </r>
  <r>
    <s v="ORD0231"/>
    <s v="2024-08-22"/>
    <x v="3"/>
    <x v="2"/>
    <x v="1"/>
    <s v="Accessories"/>
    <n v="3"/>
    <n v="783"/>
    <n v="622"/>
    <n v="161"/>
    <x v="10"/>
  </r>
  <r>
    <s v="ORD0232"/>
    <s v="2024-05-01"/>
    <x v="2"/>
    <x v="3"/>
    <x v="5"/>
    <s v="Accessories"/>
    <n v="2"/>
    <n v="1534"/>
    <n v="991"/>
    <n v="543"/>
    <x v="11"/>
  </r>
  <r>
    <s v="ORD0233"/>
    <s v="2024-04-02"/>
    <x v="0"/>
    <x v="3"/>
    <x v="5"/>
    <s v="Accessories"/>
    <n v="1"/>
    <n v="845"/>
    <n v="572"/>
    <n v="273"/>
    <x v="4"/>
  </r>
  <r>
    <s v="ORD0234"/>
    <s v="2024-06-09"/>
    <x v="2"/>
    <x v="5"/>
    <x v="3"/>
    <s v="Accessories"/>
    <n v="3"/>
    <n v="3369"/>
    <n v="2271"/>
    <n v="1098"/>
    <x v="8"/>
  </r>
  <r>
    <s v="ORD0235"/>
    <s v="2024-07-02"/>
    <x v="1"/>
    <x v="2"/>
    <x v="1"/>
    <s v="Accessories"/>
    <n v="4"/>
    <n v="3256"/>
    <n v="2142"/>
    <n v="1114"/>
    <x v="6"/>
  </r>
  <r>
    <s v="ORD0236"/>
    <s v="2024-12-21"/>
    <x v="2"/>
    <x v="0"/>
    <x v="1"/>
    <s v="Accessories"/>
    <n v="5"/>
    <n v="2700"/>
    <n v="1964"/>
    <n v="736"/>
    <x v="2"/>
  </r>
  <r>
    <s v="ORD0237"/>
    <s v="2024-04-18"/>
    <x v="1"/>
    <x v="3"/>
    <x v="2"/>
    <s v="Electronics"/>
    <n v="4"/>
    <n v="3068"/>
    <n v="2325"/>
    <n v="743"/>
    <x v="4"/>
  </r>
  <r>
    <s v="ORD0238"/>
    <s v="2024-03-24"/>
    <x v="1"/>
    <x v="2"/>
    <x v="3"/>
    <s v="Accessories"/>
    <n v="1"/>
    <n v="271"/>
    <n v="196"/>
    <n v="75"/>
    <x v="0"/>
  </r>
  <r>
    <s v="ORD0239"/>
    <s v="2024-11-05"/>
    <x v="2"/>
    <x v="0"/>
    <x v="2"/>
    <s v="Electronics"/>
    <n v="3"/>
    <n v="2391"/>
    <n v="1836"/>
    <n v="555"/>
    <x v="7"/>
  </r>
  <r>
    <s v="ORD0240"/>
    <s v="2024-06-25"/>
    <x v="3"/>
    <x v="0"/>
    <x v="0"/>
    <s v="Electronics"/>
    <n v="2"/>
    <n v="566"/>
    <n v="438"/>
    <n v="128"/>
    <x v="8"/>
  </r>
  <r>
    <s v="ORD0241"/>
    <s v="2024-02-13"/>
    <x v="3"/>
    <x v="4"/>
    <x v="5"/>
    <s v="Accessories"/>
    <n v="5"/>
    <n v="4410"/>
    <n v="3253"/>
    <n v="1157"/>
    <x v="1"/>
  </r>
  <r>
    <s v="ORD0242"/>
    <s v="2024-02-20"/>
    <x v="1"/>
    <x v="3"/>
    <x v="5"/>
    <s v="Accessories"/>
    <n v="5"/>
    <n v="1285"/>
    <n v="874"/>
    <n v="411"/>
    <x v="1"/>
  </r>
  <r>
    <s v="ORD0243"/>
    <s v="2024-12-04"/>
    <x v="0"/>
    <x v="1"/>
    <x v="5"/>
    <s v="Accessories"/>
    <n v="4"/>
    <n v="2920"/>
    <n v="2123"/>
    <n v="797"/>
    <x v="2"/>
  </r>
  <r>
    <s v="ORD0244"/>
    <s v="2024-01-09"/>
    <x v="2"/>
    <x v="3"/>
    <x v="1"/>
    <s v="Accessories"/>
    <n v="1"/>
    <n v="609"/>
    <n v="438"/>
    <n v="171"/>
    <x v="3"/>
  </r>
  <r>
    <s v="ORD0245"/>
    <s v="2024-09-09"/>
    <x v="0"/>
    <x v="4"/>
    <x v="0"/>
    <s v="Electronics"/>
    <n v="3"/>
    <n v="1278"/>
    <n v="997"/>
    <n v="281"/>
    <x v="9"/>
  </r>
  <r>
    <s v="ORD0246"/>
    <s v="2024-04-18"/>
    <x v="1"/>
    <x v="2"/>
    <x v="0"/>
    <s v="Electronics"/>
    <n v="2"/>
    <n v="1916"/>
    <n v="1174"/>
    <n v="742"/>
    <x v="4"/>
  </r>
  <r>
    <s v="ORD0247"/>
    <s v="2024-01-26"/>
    <x v="2"/>
    <x v="1"/>
    <x v="4"/>
    <s v="Electronics"/>
    <n v="3"/>
    <n v="2121"/>
    <n v="1623"/>
    <n v="498"/>
    <x v="3"/>
  </r>
  <r>
    <s v="ORD0248"/>
    <s v="2024-11-07"/>
    <x v="2"/>
    <x v="3"/>
    <x v="0"/>
    <s v="Electronics"/>
    <n v="2"/>
    <n v="1318"/>
    <n v="969"/>
    <n v="349"/>
    <x v="7"/>
  </r>
  <r>
    <s v="ORD0249"/>
    <s v="2024-10-23"/>
    <x v="1"/>
    <x v="0"/>
    <x v="2"/>
    <s v="Electronics"/>
    <n v="2"/>
    <n v="700"/>
    <n v="439"/>
    <n v="261"/>
    <x v="5"/>
  </r>
  <r>
    <s v="ORD0250"/>
    <s v="2024-10-06"/>
    <x v="2"/>
    <x v="4"/>
    <x v="5"/>
    <s v="Accessories"/>
    <n v="1"/>
    <n v="1112"/>
    <n v="758"/>
    <n v="354"/>
    <x v="5"/>
  </r>
  <r>
    <s v="ORD0251"/>
    <s v="2024-02-09"/>
    <x v="0"/>
    <x v="2"/>
    <x v="0"/>
    <s v="Electronics"/>
    <n v="4"/>
    <n v="1096"/>
    <n v="719"/>
    <n v="377"/>
    <x v="1"/>
  </r>
  <r>
    <s v="ORD0252"/>
    <s v="2024-02-10"/>
    <x v="2"/>
    <x v="0"/>
    <x v="3"/>
    <s v="Accessories"/>
    <n v="2"/>
    <n v="1012"/>
    <n v="748"/>
    <n v="264"/>
    <x v="1"/>
  </r>
  <r>
    <s v="ORD0253"/>
    <s v="2024-06-28"/>
    <x v="2"/>
    <x v="3"/>
    <x v="4"/>
    <s v="Electronics"/>
    <n v="2"/>
    <n v="2058"/>
    <n v="1311"/>
    <n v="747"/>
    <x v="8"/>
  </r>
  <r>
    <s v="ORD0254"/>
    <s v="2024-10-29"/>
    <x v="0"/>
    <x v="5"/>
    <x v="5"/>
    <s v="Accessories"/>
    <n v="4"/>
    <n v="580"/>
    <n v="387"/>
    <n v="193"/>
    <x v="5"/>
  </r>
  <r>
    <s v="ORD0255"/>
    <s v="2024-04-04"/>
    <x v="1"/>
    <x v="4"/>
    <x v="5"/>
    <s v="Accessories"/>
    <n v="3"/>
    <n v="702"/>
    <n v="456"/>
    <n v="246"/>
    <x v="4"/>
  </r>
  <r>
    <s v="ORD0256"/>
    <s v="2024-02-27"/>
    <x v="3"/>
    <x v="2"/>
    <x v="3"/>
    <s v="Accessories"/>
    <n v="2"/>
    <n v="460"/>
    <n v="284"/>
    <n v="176"/>
    <x v="1"/>
  </r>
  <r>
    <s v="ORD0257"/>
    <s v="2024-01-27"/>
    <x v="0"/>
    <x v="2"/>
    <x v="5"/>
    <s v="Accessories"/>
    <n v="3"/>
    <n v="3387"/>
    <n v="2423"/>
    <n v="964"/>
    <x v="3"/>
  </r>
  <r>
    <s v="ORD0258"/>
    <s v="2024-08-06"/>
    <x v="3"/>
    <x v="4"/>
    <x v="5"/>
    <s v="Accessories"/>
    <n v="1"/>
    <n v="847"/>
    <n v="628"/>
    <n v="219"/>
    <x v="10"/>
  </r>
  <r>
    <s v="ORD0259"/>
    <s v="2024-06-11"/>
    <x v="0"/>
    <x v="1"/>
    <x v="5"/>
    <s v="Accessories"/>
    <n v="4"/>
    <n v="4468"/>
    <n v="3341"/>
    <n v="1127"/>
    <x v="8"/>
  </r>
  <r>
    <s v="ORD0260"/>
    <s v="2024-03-06"/>
    <x v="2"/>
    <x v="5"/>
    <x v="5"/>
    <s v="Accessories"/>
    <n v="5"/>
    <n v="4690"/>
    <n v="3492"/>
    <n v="1198"/>
    <x v="0"/>
  </r>
  <r>
    <s v="ORD0261"/>
    <s v="2024-05-26"/>
    <x v="2"/>
    <x v="4"/>
    <x v="1"/>
    <s v="Accessories"/>
    <n v="3"/>
    <n v="3597"/>
    <n v="2640"/>
    <n v="957"/>
    <x v="11"/>
  </r>
  <r>
    <s v="ORD0262"/>
    <s v="2024-09-06"/>
    <x v="0"/>
    <x v="1"/>
    <x v="2"/>
    <s v="Electronics"/>
    <n v="1"/>
    <n v="828"/>
    <n v="502"/>
    <n v="326"/>
    <x v="9"/>
  </r>
  <r>
    <s v="ORD0263"/>
    <s v="2024-05-27"/>
    <x v="2"/>
    <x v="5"/>
    <x v="1"/>
    <s v="Accessories"/>
    <n v="3"/>
    <n v="1314"/>
    <n v="1014"/>
    <n v="300"/>
    <x v="11"/>
  </r>
  <r>
    <s v="ORD0264"/>
    <s v="2024-07-17"/>
    <x v="2"/>
    <x v="4"/>
    <x v="2"/>
    <s v="Electronics"/>
    <n v="2"/>
    <n v="736"/>
    <n v="479"/>
    <n v="257"/>
    <x v="6"/>
  </r>
  <r>
    <s v="ORD0265"/>
    <s v="2024-03-22"/>
    <x v="3"/>
    <x v="0"/>
    <x v="1"/>
    <s v="Accessories"/>
    <n v="5"/>
    <n v="2540"/>
    <n v="1564"/>
    <n v="976"/>
    <x v="0"/>
  </r>
  <r>
    <s v="ORD0266"/>
    <s v="2024-12-12"/>
    <x v="1"/>
    <x v="0"/>
    <x v="1"/>
    <s v="Accessories"/>
    <n v="2"/>
    <n v="210"/>
    <n v="164"/>
    <n v="46"/>
    <x v="2"/>
  </r>
  <r>
    <s v="ORD0267"/>
    <s v="2024-02-24"/>
    <x v="1"/>
    <x v="3"/>
    <x v="5"/>
    <s v="Accessories"/>
    <n v="4"/>
    <n v="2760"/>
    <n v="1687"/>
    <n v="1073"/>
    <x v="1"/>
  </r>
  <r>
    <s v="ORD0268"/>
    <s v="2024-05-27"/>
    <x v="0"/>
    <x v="2"/>
    <x v="3"/>
    <s v="Accessories"/>
    <n v="1"/>
    <n v="870"/>
    <n v="557"/>
    <n v="313"/>
    <x v="11"/>
  </r>
  <r>
    <s v="ORD0269"/>
    <s v="2024-06-10"/>
    <x v="2"/>
    <x v="5"/>
    <x v="0"/>
    <s v="Electronics"/>
    <n v="2"/>
    <n v="444"/>
    <n v="343"/>
    <n v="101"/>
    <x v="8"/>
  </r>
  <r>
    <s v="ORD0270"/>
    <s v="2024-06-17"/>
    <x v="3"/>
    <x v="4"/>
    <x v="4"/>
    <s v="Electronics"/>
    <n v="1"/>
    <n v="477"/>
    <n v="353"/>
    <n v="124"/>
    <x v="8"/>
  </r>
  <r>
    <s v="ORD0271"/>
    <s v="2024-07-03"/>
    <x v="0"/>
    <x v="2"/>
    <x v="3"/>
    <s v="Accessories"/>
    <n v="3"/>
    <n v="1119"/>
    <n v="674"/>
    <n v="445"/>
    <x v="6"/>
  </r>
  <r>
    <s v="ORD0272"/>
    <s v="2024-11-26"/>
    <x v="1"/>
    <x v="4"/>
    <x v="1"/>
    <s v="Accessories"/>
    <n v="1"/>
    <n v="509"/>
    <n v="379"/>
    <n v="130"/>
    <x v="7"/>
  </r>
  <r>
    <s v="ORD0273"/>
    <s v="2024-05-14"/>
    <x v="3"/>
    <x v="5"/>
    <x v="3"/>
    <s v="Accessories"/>
    <n v="4"/>
    <n v="3660"/>
    <n v="2233"/>
    <n v="1427"/>
    <x v="11"/>
  </r>
  <r>
    <s v="ORD0274"/>
    <s v="2024-01-01"/>
    <x v="0"/>
    <x v="3"/>
    <x v="1"/>
    <s v="Accessories"/>
    <n v="3"/>
    <n v="2724"/>
    <n v="1707"/>
    <n v="1017"/>
    <x v="3"/>
  </r>
  <r>
    <s v="ORD0275"/>
    <s v="2024-01-15"/>
    <x v="2"/>
    <x v="2"/>
    <x v="4"/>
    <s v="Electronics"/>
    <n v="4"/>
    <n v="4744"/>
    <n v="3493"/>
    <n v="1251"/>
    <x v="3"/>
  </r>
  <r>
    <s v="ORD0276"/>
    <s v="2024-12-13"/>
    <x v="1"/>
    <x v="4"/>
    <x v="1"/>
    <s v="Accessories"/>
    <n v="2"/>
    <n v="1040"/>
    <n v="777"/>
    <n v="263"/>
    <x v="2"/>
  </r>
  <r>
    <s v="ORD0277"/>
    <s v="2024-07-30"/>
    <x v="0"/>
    <x v="4"/>
    <x v="0"/>
    <s v="Electronics"/>
    <n v="5"/>
    <n v="4935"/>
    <n v="3162"/>
    <n v="1773"/>
    <x v="6"/>
  </r>
  <r>
    <s v="ORD0278"/>
    <s v="2024-08-27"/>
    <x v="2"/>
    <x v="2"/>
    <x v="1"/>
    <s v="Accessories"/>
    <n v="5"/>
    <n v="3970"/>
    <n v="2489"/>
    <n v="1481"/>
    <x v="10"/>
  </r>
  <r>
    <s v="ORD0279"/>
    <s v="2024-07-23"/>
    <x v="3"/>
    <x v="5"/>
    <x v="1"/>
    <s v="Accessories"/>
    <n v="2"/>
    <n v="902"/>
    <n v="565"/>
    <n v="337"/>
    <x v="6"/>
  </r>
  <r>
    <s v="ORD0280"/>
    <s v="2024-02-11"/>
    <x v="0"/>
    <x v="3"/>
    <x v="1"/>
    <s v="Accessories"/>
    <n v="2"/>
    <n v="426"/>
    <n v="259"/>
    <n v="167"/>
    <x v="1"/>
  </r>
  <r>
    <s v="ORD0281"/>
    <s v="2024-05-09"/>
    <x v="1"/>
    <x v="4"/>
    <x v="3"/>
    <s v="Accessories"/>
    <n v="4"/>
    <n v="1560"/>
    <n v="1107"/>
    <n v="453"/>
    <x v="11"/>
  </r>
  <r>
    <s v="ORD0282"/>
    <s v="2024-07-22"/>
    <x v="0"/>
    <x v="5"/>
    <x v="3"/>
    <s v="Accessories"/>
    <n v="1"/>
    <n v="1046"/>
    <n v="722"/>
    <n v="324"/>
    <x v="6"/>
  </r>
  <r>
    <s v="ORD0283"/>
    <s v="2024-03-02"/>
    <x v="0"/>
    <x v="2"/>
    <x v="2"/>
    <s v="Electronics"/>
    <n v="3"/>
    <n v="1215"/>
    <n v="917"/>
    <n v="298"/>
    <x v="0"/>
  </r>
  <r>
    <s v="ORD0284"/>
    <s v="2024-08-29"/>
    <x v="1"/>
    <x v="4"/>
    <x v="2"/>
    <s v="Electronics"/>
    <n v="5"/>
    <n v="1070"/>
    <n v="662"/>
    <n v="408"/>
    <x v="10"/>
  </r>
  <r>
    <s v="ORD0285"/>
    <s v="2024-11-02"/>
    <x v="0"/>
    <x v="1"/>
    <x v="1"/>
    <s v="Accessories"/>
    <n v="3"/>
    <n v="2532"/>
    <n v="1846"/>
    <n v="686"/>
    <x v="7"/>
  </r>
  <r>
    <s v="ORD0286"/>
    <s v="2024-05-15"/>
    <x v="2"/>
    <x v="0"/>
    <x v="2"/>
    <s v="Electronics"/>
    <n v="2"/>
    <n v="1494"/>
    <n v="1088"/>
    <n v="406"/>
    <x v="11"/>
  </r>
  <r>
    <s v="ORD0287"/>
    <s v="2024-04-13"/>
    <x v="3"/>
    <x v="5"/>
    <x v="3"/>
    <s v="Accessories"/>
    <n v="1"/>
    <n v="508"/>
    <n v="380"/>
    <n v="128"/>
    <x v="4"/>
  </r>
  <r>
    <s v="ORD0288"/>
    <s v="2024-07-22"/>
    <x v="0"/>
    <x v="5"/>
    <x v="0"/>
    <s v="Electronics"/>
    <n v="2"/>
    <n v="1780"/>
    <n v="1405"/>
    <n v="375"/>
    <x v="6"/>
  </r>
  <r>
    <s v="ORD0289"/>
    <s v="2024-11-27"/>
    <x v="1"/>
    <x v="1"/>
    <x v="3"/>
    <s v="Accessories"/>
    <n v="3"/>
    <n v="885"/>
    <n v="648"/>
    <n v="237"/>
    <x v="7"/>
  </r>
  <r>
    <s v="ORD0290"/>
    <s v="2024-05-27"/>
    <x v="2"/>
    <x v="0"/>
    <x v="3"/>
    <s v="Accessories"/>
    <n v="5"/>
    <n v="1315"/>
    <n v="819"/>
    <n v="496"/>
    <x v="11"/>
  </r>
  <r>
    <s v="ORD0291"/>
    <s v="2024-04-05"/>
    <x v="3"/>
    <x v="5"/>
    <x v="5"/>
    <s v="Accessories"/>
    <n v="2"/>
    <n v="1544"/>
    <n v="992"/>
    <n v="552"/>
    <x v="4"/>
  </r>
  <r>
    <s v="ORD0292"/>
    <s v="2024-10-29"/>
    <x v="2"/>
    <x v="4"/>
    <x v="2"/>
    <s v="Electronics"/>
    <n v="3"/>
    <n v="2709"/>
    <n v="1987"/>
    <n v="722"/>
    <x v="5"/>
  </r>
  <r>
    <s v="ORD0293"/>
    <s v="2024-12-19"/>
    <x v="3"/>
    <x v="5"/>
    <x v="4"/>
    <s v="Electronics"/>
    <n v="3"/>
    <n v="2670"/>
    <n v="1724"/>
    <n v="946"/>
    <x v="2"/>
  </r>
  <r>
    <s v="ORD0294"/>
    <s v="2024-08-11"/>
    <x v="0"/>
    <x v="3"/>
    <x v="1"/>
    <s v="Accessories"/>
    <n v="3"/>
    <n v="2709"/>
    <n v="1841"/>
    <n v="868"/>
    <x v="10"/>
  </r>
  <r>
    <s v="ORD0295"/>
    <s v="2024-03-11"/>
    <x v="0"/>
    <x v="5"/>
    <x v="1"/>
    <s v="Accessories"/>
    <n v="4"/>
    <n v="1176"/>
    <n v="878"/>
    <n v="298"/>
    <x v="0"/>
  </r>
  <r>
    <s v="ORD0296"/>
    <s v="2024-10-15"/>
    <x v="2"/>
    <x v="4"/>
    <x v="3"/>
    <s v="Accessories"/>
    <n v="1"/>
    <n v="1004"/>
    <n v="667"/>
    <n v="337"/>
    <x v="5"/>
  </r>
  <r>
    <s v="ORD0297"/>
    <s v="2024-01-30"/>
    <x v="2"/>
    <x v="4"/>
    <x v="3"/>
    <s v="Accessories"/>
    <n v="5"/>
    <n v="4325"/>
    <n v="2623"/>
    <n v="1702"/>
    <x v="3"/>
  </r>
  <r>
    <s v="ORD0298"/>
    <s v="2024-11-14"/>
    <x v="3"/>
    <x v="1"/>
    <x v="2"/>
    <s v="Electronics"/>
    <n v="3"/>
    <n v="3189"/>
    <n v="2333"/>
    <n v="856"/>
    <x v="7"/>
  </r>
  <r>
    <s v="ORD0299"/>
    <s v="2024-09-06"/>
    <x v="1"/>
    <x v="3"/>
    <x v="1"/>
    <s v="Accessories"/>
    <n v="4"/>
    <n v="792"/>
    <n v="569"/>
    <n v="223"/>
    <x v="9"/>
  </r>
  <r>
    <s v="ORD0300"/>
    <s v="2024-09-27"/>
    <x v="2"/>
    <x v="5"/>
    <x v="0"/>
    <s v="Electronics"/>
    <n v="3"/>
    <n v="459"/>
    <n v="305"/>
    <n v="154"/>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9B7B5C-51BC-425B-8DB7-C8C89245A99D}" name="Month" cacheId="62" applyNumberFormats="0" applyBorderFormats="0" applyFontFormats="0" applyPatternFormats="0" applyAlignmentFormats="0" applyWidthHeightFormats="1" dataCaption="Values" updatedVersion="8" minRefreshableVersion="3" useAutoFormatting="1" itemPrintTitles="1" createdVersion="8" indent="0" multipleFieldFilters="0" chartFormat="34">
  <location ref="A40:B53" firstHeaderRow="1" firstDataRow="1" firstDataCol="1"/>
  <pivotFields count="11">
    <pivotField showAll="0"/>
    <pivotField showAll="0"/>
    <pivotField showAll="0"/>
    <pivotField showAll="0"/>
    <pivotField showAll="0">
      <items count="7">
        <item x="5"/>
        <item x="3"/>
        <item x="2"/>
        <item x="0"/>
        <item x="1"/>
        <item x="4"/>
        <item t="default"/>
      </items>
    </pivotField>
    <pivotField showAll="0"/>
    <pivotField numFmtId="2" showAll="0"/>
    <pivotField dataField="1" numFmtId="165" showAll="0"/>
    <pivotField numFmtId="165" showAll="0"/>
    <pivotField numFmtId="165" showAll="0"/>
    <pivotField axis="axisRow" showAll="0">
      <items count="13">
        <item x="3"/>
        <item x="1"/>
        <item x="0"/>
        <item x="4"/>
        <item x="11"/>
        <item x="8"/>
        <item x="6"/>
        <item x="10"/>
        <item x="9"/>
        <item x="5"/>
        <item x="7"/>
        <item x="2"/>
        <item t="default"/>
      </items>
    </pivotField>
  </pivotFields>
  <rowFields count="1">
    <field x="10"/>
  </rowFields>
  <rowItems count="13">
    <i>
      <x/>
    </i>
    <i>
      <x v="1"/>
    </i>
    <i>
      <x v="2"/>
    </i>
    <i>
      <x v="3"/>
    </i>
    <i>
      <x v="4"/>
    </i>
    <i>
      <x v="5"/>
    </i>
    <i>
      <x v="6"/>
    </i>
    <i>
      <x v="7"/>
    </i>
    <i>
      <x v="8"/>
    </i>
    <i>
      <x v="9"/>
    </i>
    <i>
      <x v="10"/>
    </i>
    <i>
      <x v="11"/>
    </i>
    <i t="grand">
      <x/>
    </i>
  </rowItems>
  <colItems count="1">
    <i/>
  </colItems>
  <dataFields count="1">
    <dataField name="Sum of Revenue" fld="7" baseField="0" baseItem="0" numFmtId="165"/>
  </dataFields>
  <chartFormats count="4">
    <chartFormat chart="16"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BAD77B-E62F-4731-995A-02DA1999734C}" name="Product" cacheId="62"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fieldListSortAscending="1">
  <location ref="A16:B23" firstHeaderRow="1" firstDataRow="1" firstDataCol="1"/>
  <pivotFields count="11">
    <pivotField showAll="0"/>
    <pivotField showAll="0"/>
    <pivotField showAll="0"/>
    <pivotField showAll="0"/>
    <pivotField axis="axisRow" showAll="0" sortType="descending">
      <items count="7">
        <item x="5"/>
        <item x="3"/>
        <item x="2"/>
        <item x="0"/>
        <item x="1"/>
        <item x="4"/>
        <item t="default"/>
      </items>
      <autoSortScope>
        <pivotArea dataOnly="0" outline="0" fieldPosition="0">
          <references count="1">
            <reference field="4294967294" count="1" selected="0">
              <x v="0"/>
            </reference>
          </references>
        </pivotArea>
      </autoSortScope>
    </pivotField>
    <pivotField showAll="0"/>
    <pivotField numFmtId="2" showAll="0"/>
    <pivotField dataField="1" numFmtId="165" showAll="0"/>
    <pivotField numFmtId="165" showAll="0"/>
    <pivotField numFmtId="165" showAll="0"/>
    <pivotField showAll="0">
      <items count="13">
        <item x="3"/>
        <item x="1"/>
        <item x="0"/>
        <item x="4"/>
        <item x="11"/>
        <item x="8"/>
        <item x="6"/>
        <item x="10"/>
        <item x="9"/>
        <item x="5"/>
        <item x="7"/>
        <item x="2"/>
        <item t="default"/>
      </items>
    </pivotField>
  </pivotFields>
  <rowFields count="1">
    <field x="4"/>
  </rowFields>
  <rowItems count="7">
    <i>
      <x v="2"/>
    </i>
    <i>
      <x v="4"/>
    </i>
    <i>
      <x v="1"/>
    </i>
    <i>
      <x v="5"/>
    </i>
    <i>
      <x v="3"/>
    </i>
    <i>
      <x/>
    </i>
    <i t="grand">
      <x/>
    </i>
  </rowItems>
  <colItems count="1">
    <i/>
  </colItems>
  <dataFields count="1">
    <dataField name="Sum of Revenue" fld="7" baseField="0" baseItem="0" numFmtId="165"/>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8C7B3C-A941-4084-87A1-7698F0689FD0}" name="Region" cacheId="62" applyNumberFormats="0" applyBorderFormats="0" applyFontFormats="0" applyPatternFormats="0" applyAlignmentFormats="0" applyWidthHeightFormats="1" dataCaption="Values" updatedVersion="8" minRefreshableVersion="3" useAutoFormatting="1" itemPrintTitles="1" createdVersion="8" indent="0" multipleFieldFilters="0" chartFormat="12">
  <location ref="A9:B14" firstHeaderRow="1" firstDataRow="1" firstDataCol="1"/>
  <pivotFields count="11">
    <pivotField showAll="0"/>
    <pivotField showAll="0"/>
    <pivotField axis="axisRow" showAll="0">
      <items count="5">
        <item x="0"/>
        <item x="2"/>
        <item x="3"/>
        <item x="1"/>
        <item t="default"/>
      </items>
    </pivotField>
    <pivotField showAll="0"/>
    <pivotField showAll="0">
      <items count="7">
        <item x="5"/>
        <item x="3"/>
        <item x="2"/>
        <item x="0"/>
        <item x="1"/>
        <item x="4"/>
        <item t="default"/>
      </items>
    </pivotField>
    <pivotField showAll="0"/>
    <pivotField numFmtId="2" showAll="0"/>
    <pivotField dataField="1" numFmtId="165" showAll="0"/>
    <pivotField numFmtId="165" showAll="0"/>
    <pivotField numFmtId="165" showAll="0"/>
    <pivotField showAll="0">
      <items count="13">
        <item x="3"/>
        <item x="1"/>
        <item x="0"/>
        <item x="4"/>
        <item x="11"/>
        <item x="8"/>
        <item x="6"/>
        <item x="10"/>
        <item x="9"/>
        <item x="5"/>
        <item x="7"/>
        <item x="2"/>
        <item t="default"/>
      </items>
    </pivotField>
  </pivotFields>
  <rowFields count="1">
    <field x="2"/>
  </rowFields>
  <rowItems count="5">
    <i>
      <x/>
    </i>
    <i>
      <x v="1"/>
    </i>
    <i>
      <x v="2"/>
    </i>
    <i>
      <x v="3"/>
    </i>
    <i t="grand">
      <x/>
    </i>
  </rowItems>
  <colItems count="1">
    <i/>
  </colItems>
  <dataFields count="1">
    <dataField name="Sum of Revenue" fld="7" baseField="0" baseItem="0" numFmtId="165"/>
  </dataFields>
  <chartFormats count="12">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 chart="5" format="3">
      <pivotArea type="data" outline="0" fieldPosition="0">
        <references count="2">
          <reference field="4294967294" count="1" selected="0">
            <x v="0"/>
          </reference>
          <reference field="2" count="1" selected="0">
            <x v="2"/>
          </reference>
        </references>
      </pivotArea>
    </chartFormat>
    <chartFormat chart="5" format="4">
      <pivotArea type="data" outline="0" fieldPosition="0">
        <references count="2">
          <reference field="4294967294" count="1" selected="0">
            <x v="0"/>
          </reference>
          <reference field="2" count="1" selected="0">
            <x v="3"/>
          </reference>
        </references>
      </pivotArea>
    </chartFormat>
    <chartFormat chart="8" format="2"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2" count="1" selected="0">
            <x v="0"/>
          </reference>
        </references>
      </pivotArea>
    </chartFormat>
    <chartFormat chart="11" format="12">
      <pivotArea type="data" outline="0" fieldPosition="0">
        <references count="2">
          <reference field="4294967294" count="1" selected="0">
            <x v="0"/>
          </reference>
          <reference field="2" count="1" selected="0">
            <x v="1"/>
          </reference>
        </references>
      </pivotArea>
    </chartFormat>
    <chartFormat chart="11" format="13">
      <pivotArea type="data" outline="0" fieldPosition="0">
        <references count="2">
          <reference field="4294967294" count="1" selected="0">
            <x v="0"/>
          </reference>
          <reference field="2" count="1" selected="0">
            <x v="2"/>
          </reference>
        </references>
      </pivotArea>
    </chartFormat>
    <chartFormat chart="11"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2D2092-0A74-4E02-BC27-C3AF3FF3222E}" name="PivotTable4" cacheId="6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26:B33" firstHeaderRow="1" firstDataRow="1" firstDataCol="1"/>
  <pivotFields count="11">
    <pivotField showAll="0"/>
    <pivotField showAll="0"/>
    <pivotField showAll="0"/>
    <pivotField axis="axisRow" showAll="0">
      <items count="7">
        <item x="1"/>
        <item x="0"/>
        <item x="5"/>
        <item x="2"/>
        <item x="3"/>
        <item x="4"/>
        <item t="default"/>
      </items>
    </pivotField>
    <pivotField showAll="0"/>
    <pivotField showAll="0"/>
    <pivotField numFmtId="2" showAll="0"/>
    <pivotField dataField="1" numFmtId="165" showAll="0"/>
    <pivotField numFmtId="165" showAll="0"/>
    <pivotField numFmtId="165" showAll="0"/>
    <pivotField showAll="0"/>
  </pivotFields>
  <rowFields count="1">
    <field x="3"/>
  </rowFields>
  <rowItems count="7">
    <i>
      <x/>
    </i>
    <i>
      <x v="1"/>
    </i>
    <i>
      <x v="2"/>
    </i>
    <i>
      <x v="3"/>
    </i>
    <i>
      <x v="4"/>
    </i>
    <i>
      <x v="5"/>
    </i>
    <i t="grand">
      <x/>
    </i>
  </rowItems>
  <colItems count="1">
    <i/>
  </colItems>
  <dataFields count="1">
    <dataField name="Sum of Revenue"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E92B02-E51D-4B0F-A0EB-EF3A39295AE5}" sourceName="Region">
  <pivotTables>
    <pivotTable tabId="3" name="Region"/>
  </pivotTables>
  <data>
    <tabular pivotCacheId="551923795">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E56D784-DECB-40A9-9168-11EA3DF93694}" sourceName="Product">
  <pivotTables>
    <pivotTable tabId="3" name="Product"/>
  </pivotTables>
  <data>
    <tabular pivotCacheId="551923795">
      <items count="6">
        <i x="5" s="1"/>
        <i x="3" s="1"/>
        <i x="2"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E42FB4E-93E8-45A6-BE76-E8545567B583}" sourceName="Month">
  <pivotTables>
    <pivotTable tabId="3" name="Month"/>
    <pivotTable tabId="3" name="Product"/>
    <pivotTable tabId="3" name="Region"/>
  </pivotTables>
  <data>
    <tabular pivotCacheId="551923795">
      <items count="12">
        <i x="3" s="1"/>
        <i x="1" s="1"/>
        <i x="0" s="1"/>
        <i x="4" s="1"/>
        <i x="11" s="1"/>
        <i x="8" s="1"/>
        <i x="6" s="1"/>
        <i x="10" s="1"/>
        <i x="9" s="1"/>
        <i x="5" s="1"/>
        <i x="7"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35156B-AE41-4024-8C15-57C459F88667}" cache="Slicer_Region" caption="Region" rowHeight="241300"/>
  <slicer name="Product" xr10:uid="{6FD4940A-C1AF-4467-AD56-012808B1F3A1}" cache="Slicer_Product" caption="Product" rowHeight="241300"/>
  <slicer name="Month" xr10:uid="{6B047311-8421-4865-86CB-D284ACE47FF2}"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D6273BE-81D4-457D-9340-ED9F2EC63211}" cache="Slicer_Region" caption="Region" rowHeight="241300"/>
  <slicer name="Product 1" xr10:uid="{EE39A431-16BD-41BE-8159-6F63A01DC7FC}" cache="Slicer_Product" caption="Product" rowHeight="241300"/>
  <slicer name="Month 1" xr10:uid="{9AC7BBD7-C7EE-4F05-A3C4-095436EFE756}" cache="Slicer_Month" caption="Month" startItem="7"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CBA083-1579-4B7A-92E3-0FC5DDD56C10}" name="Sales_Clean_Data" displayName="Sales_Clean_Data" ref="A1:K301" totalsRowShown="0">
  <autoFilter ref="A1:K301" xr:uid="{6A389D56-C4B2-415A-94E7-F8B354CD6FDD}"/>
  <tableColumns count="11">
    <tableColumn id="1" xr3:uid="{04153DFC-CA70-4BCB-A251-DF8DF75C8413}" name="Order_ID"/>
    <tableColumn id="2" xr3:uid="{5DB9A094-D75F-4204-BDD2-6DBA64525D41}" name="Order_Date" dataDxfId="5"/>
    <tableColumn id="3" xr3:uid="{3B917934-EF36-4858-93CC-1343362F8668}" name="Region"/>
    <tableColumn id="4" xr3:uid="{22E8F1BF-071D-457E-B917-A4E0F837C9B5}" name="Salesperson"/>
    <tableColumn id="5" xr3:uid="{C2F90600-633C-4A3A-A381-3DFA8872DD87}" name="Product"/>
    <tableColumn id="6" xr3:uid="{5FA2C690-C98B-45A1-820E-6BF01BDD84D5}" name="Category"/>
    <tableColumn id="7" xr3:uid="{E9C04D61-9EAD-490E-8FFE-475C974DACE9}" name="Quantity" dataDxfId="4"/>
    <tableColumn id="8" xr3:uid="{57D8C08E-B927-45D2-A9A0-A8933D2E4B2B}" name="Revenue" dataDxfId="3"/>
    <tableColumn id="9" xr3:uid="{986A8705-A4E9-42D3-A6B2-75710C0A5D4E}" name="Cost" dataDxfId="2"/>
    <tableColumn id="10" xr3:uid="{59CD4380-0215-45B3-9215-6C25206CC754}" name="Profit" dataDxfId="1"/>
    <tableColumn id="11" xr3:uid="{EF0EF7BA-B694-4A8D-B692-2039AEC8EFC5}" name="Month" dataDxfId="0">
      <calculatedColumnFormula>TEXT(Sales_Clean_Data[[#This Row],[Order_Date]],"mmm")</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389D56-C4B2-415A-94E7-F8B354CD6FDD}" name="Table1" displayName="Table1" ref="A1:J301" totalsRowShown="0">
  <autoFilter ref="A1:J301" xr:uid="{6A389D56-C4B2-415A-94E7-F8B354CD6FDD}"/>
  <tableColumns count="10">
    <tableColumn id="1" xr3:uid="{952090FD-FBB4-4CC8-A7A3-B77C1607072F}" name="Order_ID"/>
    <tableColumn id="2" xr3:uid="{1A4318E3-732A-4191-94F4-3B0E88E1217A}" name="Order_Date" dataDxfId="10"/>
    <tableColumn id="3" xr3:uid="{BE7DA9C1-850B-4B6F-AB1A-7ED706A50334}" name="Region"/>
    <tableColumn id="4" xr3:uid="{BF78B4E8-0DCB-4944-A77E-4F3703F7266F}" name="Salesperson"/>
    <tableColumn id="5" xr3:uid="{85A59B87-44A6-4CEC-9BE7-6FFA4059C03B}" name="Product"/>
    <tableColumn id="6" xr3:uid="{7D747B3C-E9B8-47CB-84BD-FAAABD00E2A1}" name="Category"/>
    <tableColumn id="7" xr3:uid="{0E4BF05E-A958-4681-9681-1775AF9AF687}" name="Quantity" dataDxfId="9"/>
    <tableColumn id="8" xr3:uid="{76B36C97-E055-4B91-ABA1-839D681F3CE7}" name="Revenue" dataDxfId="8"/>
    <tableColumn id="9" xr3:uid="{FBB068A5-2069-4DE8-9C92-11CE95FAD15E}" name="Cost" dataDxfId="7"/>
    <tableColumn id="10" xr3:uid="{E308EFEC-908C-4B5E-BF18-335D29A9E315}" name="Profit" dataDxfId="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3F1F4-5C81-4E13-95FB-E3E1FB356E25}">
  <dimension ref="A2:B53"/>
  <sheetViews>
    <sheetView topLeftCell="A23" zoomScaleNormal="100" workbookViewId="0">
      <selection activeCell="O46" sqref="O46"/>
    </sheetView>
  </sheetViews>
  <sheetFormatPr defaultRowHeight="15" x14ac:dyDescent="0.25"/>
  <cols>
    <col min="1" max="1" width="13.140625" bestFit="1" customWidth="1"/>
    <col min="2" max="2" width="15.5703125" bestFit="1" customWidth="1"/>
    <col min="5" max="5" width="13.140625" bestFit="1" customWidth="1"/>
    <col min="6" max="6" width="15.5703125" bestFit="1" customWidth="1"/>
  </cols>
  <sheetData>
    <row r="2" spans="1:2" x14ac:dyDescent="0.25">
      <c r="A2" s="4" t="s">
        <v>525</v>
      </c>
      <c r="B2" s="3">
        <f>SUM(Sales_Clean_Data[Revenue])</f>
        <v>555227</v>
      </c>
    </row>
    <row r="3" spans="1:2" x14ac:dyDescent="0.25">
      <c r="A3" s="4" t="s">
        <v>526</v>
      </c>
      <c r="B3" s="3">
        <f>SUM(Sales_Clean_Data[Profit])</f>
        <v>167126</v>
      </c>
    </row>
    <row r="4" spans="1:2" x14ac:dyDescent="0.25">
      <c r="A4" s="4" t="s">
        <v>527</v>
      </c>
      <c r="B4">
        <f>AVERAGE(Sales_Clean_Data[Revenue])</f>
        <v>1850.7566666666667</v>
      </c>
    </row>
    <row r="5" spans="1:2" x14ac:dyDescent="0.25">
      <c r="A5" s="4" t="s">
        <v>533</v>
      </c>
      <c r="B5" s="7">
        <f>B3/B2</f>
        <v>0.30100481424714576</v>
      </c>
    </row>
    <row r="6" spans="1:2" x14ac:dyDescent="0.25">
      <c r="A6" s="4"/>
    </row>
    <row r="9" spans="1:2" x14ac:dyDescent="0.25">
      <c r="A9" s="5" t="s">
        <v>528</v>
      </c>
      <c r="B9" t="s">
        <v>530</v>
      </c>
    </row>
    <row r="10" spans="1:2" x14ac:dyDescent="0.25">
      <c r="A10" s="6" t="s">
        <v>12</v>
      </c>
      <c r="B10" s="3">
        <v>135653</v>
      </c>
    </row>
    <row r="11" spans="1:2" x14ac:dyDescent="0.25">
      <c r="A11" s="6" t="s">
        <v>24</v>
      </c>
      <c r="B11" s="3">
        <v>183496</v>
      </c>
    </row>
    <row r="12" spans="1:2" x14ac:dyDescent="0.25">
      <c r="A12" s="6" t="s">
        <v>27</v>
      </c>
      <c r="B12" s="3">
        <v>121347</v>
      </c>
    </row>
    <row r="13" spans="1:2" x14ac:dyDescent="0.25">
      <c r="A13" s="6" t="s">
        <v>18</v>
      </c>
      <c r="B13" s="3">
        <v>114731</v>
      </c>
    </row>
    <row r="14" spans="1:2" x14ac:dyDescent="0.25">
      <c r="A14" s="6" t="s">
        <v>529</v>
      </c>
      <c r="B14" s="3">
        <v>555227</v>
      </c>
    </row>
    <row r="16" spans="1:2" x14ac:dyDescent="0.25">
      <c r="A16" s="5" t="s">
        <v>528</v>
      </c>
      <c r="B16" t="s">
        <v>530</v>
      </c>
    </row>
    <row r="17" spans="1:2" x14ac:dyDescent="0.25">
      <c r="A17" s="6" t="s">
        <v>29</v>
      </c>
      <c r="B17" s="3">
        <v>125095</v>
      </c>
    </row>
    <row r="18" spans="1:2" x14ac:dyDescent="0.25">
      <c r="A18" s="6" t="s">
        <v>20</v>
      </c>
      <c r="B18" s="3">
        <v>103159</v>
      </c>
    </row>
    <row r="19" spans="1:2" x14ac:dyDescent="0.25">
      <c r="A19" s="6" t="s">
        <v>38</v>
      </c>
      <c r="B19" s="3">
        <v>85601</v>
      </c>
    </row>
    <row r="20" spans="1:2" x14ac:dyDescent="0.25">
      <c r="A20" s="6" t="s">
        <v>58</v>
      </c>
      <c r="B20" s="3">
        <v>84864</v>
      </c>
    </row>
    <row r="21" spans="1:2" x14ac:dyDescent="0.25">
      <c r="A21" s="6" t="s">
        <v>14</v>
      </c>
      <c r="B21" s="3">
        <v>82957</v>
      </c>
    </row>
    <row r="22" spans="1:2" x14ac:dyDescent="0.25">
      <c r="A22" s="6" t="s">
        <v>71</v>
      </c>
      <c r="B22" s="3">
        <v>73551</v>
      </c>
    </row>
    <row r="23" spans="1:2" x14ac:dyDescent="0.25">
      <c r="A23" s="6" t="s">
        <v>529</v>
      </c>
      <c r="B23" s="3">
        <v>555227</v>
      </c>
    </row>
    <row r="26" spans="1:2" x14ac:dyDescent="0.25">
      <c r="A26" s="5" t="s">
        <v>528</v>
      </c>
      <c r="B26" t="s">
        <v>530</v>
      </c>
    </row>
    <row r="27" spans="1:2" x14ac:dyDescent="0.25">
      <c r="A27" s="6" t="s">
        <v>19</v>
      </c>
      <c r="B27" s="3">
        <v>101252</v>
      </c>
    </row>
    <row r="28" spans="1:2" x14ac:dyDescent="0.25">
      <c r="A28" s="6" t="s">
        <v>13</v>
      </c>
      <c r="B28" s="3">
        <v>80087</v>
      </c>
    </row>
    <row r="29" spans="1:2" x14ac:dyDescent="0.25">
      <c r="A29" s="6" t="s">
        <v>47</v>
      </c>
      <c r="B29" s="3">
        <v>89026</v>
      </c>
    </row>
    <row r="30" spans="1:2" x14ac:dyDescent="0.25">
      <c r="A30" s="6" t="s">
        <v>28</v>
      </c>
      <c r="B30" s="3">
        <v>73571</v>
      </c>
    </row>
    <row r="31" spans="1:2" x14ac:dyDescent="0.25">
      <c r="A31" s="6" t="s">
        <v>32</v>
      </c>
      <c r="B31" s="3">
        <v>105241</v>
      </c>
    </row>
    <row r="32" spans="1:2" x14ac:dyDescent="0.25">
      <c r="A32" s="6" t="s">
        <v>37</v>
      </c>
      <c r="B32" s="3">
        <v>106050</v>
      </c>
    </row>
    <row r="33" spans="1:2" x14ac:dyDescent="0.25">
      <c r="A33" s="6" t="s">
        <v>529</v>
      </c>
      <c r="B33" s="3">
        <v>555227</v>
      </c>
    </row>
    <row r="40" spans="1:2" x14ac:dyDescent="0.25">
      <c r="A40" s="5" t="s">
        <v>528</v>
      </c>
      <c r="B40" t="s">
        <v>530</v>
      </c>
    </row>
    <row r="41" spans="1:2" x14ac:dyDescent="0.25">
      <c r="A41" s="6" t="s">
        <v>534</v>
      </c>
      <c r="B41" s="3">
        <v>62414</v>
      </c>
    </row>
    <row r="42" spans="1:2" x14ac:dyDescent="0.25">
      <c r="A42" s="6" t="s">
        <v>535</v>
      </c>
      <c r="B42" s="3">
        <v>43972</v>
      </c>
    </row>
    <row r="43" spans="1:2" x14ac:dyDescent="0.25">
      <c r="A43" s="6" t="s">
        <v>536</v>
      </c>
      <c r="B43" s="3">
        <v>44703</v>
      </c>
    </row>
    <row r="44" spans="1:2" x14ac:dyDescent="0.25">
      <c r="A44" s="6" t="s">
        <v>537</v>
      </c>
      <c r="B44" s="3">
        <v>42940</v>
      </c>
    </row>
    <row r="45" spans="1:2" x14ac:dyDescent="0.25">
      <c r="A45" s="6" t="s">
        <v>538</v>
      </c>
      <c r="B45" s="3">
        <v>57070</v>
      </c>
    </row>
    <row r="46" spans="1:2" x14ac:dyDescent="0.25">
      <c r="A46" s="6" t="s">
        <v>539</v>
      </c>
      <c r="B46" s="3">
        <v>46267</v>
      </c>
    </row>
    <row r="47" spans="1:2" x14ac:dyDescent="0.25">
      <c r="A47" s="6" t="s">
        <v>540</v>
      </c>
      <c r="B47" s="3">
        <v>52399</v>
      </c>
    </row>
    <row r="48" spans="1:2" x14ac:dyDescent="0.25">
      <c r="A48" s="6" t="s">
        <v>541</v>
      </c>
      <c r="B48" s="3">
        <v>41691</v>
      </c>
    </row>
    <row r="49" spans="1:2" x14ac:dyDescent="0.25">
      <c r="A49" s="6" t="s">
        <v>542</v>
      </c>
      <c r="B49" s="3">
        <v>32729</v>
      </c>
    </row>
    <row r="50" spans="1:2" x14ac:dyDescent="0.25">
      <c r="A50" s="6" t="s">
        <v>543</v>
      </c>
      <c r="B50" s="3">
        <v>35227</v>
      </c>
    </row>
    <row r="51" spans="1:2" x14ac:dyDescent="0.25">
      <c r="A51" s="6" t="s">
        <v>544</v>
      </c>
      <c r="B51" s="3">
        <v>47702</v>
      </c>
    </row>
    <row r="52" spans="1:2" x14ac:dyDescent="0.25">
      <c r="A52" s="6" t="s">
        <v>545</v>
      </c>
      <c r="B52" s="3">
        <v>48113</v>
      </c>
    </row>
    <row r="53" spans="1:2" x14ac:dyDescent="0.25">
      <c r="A53" s="6" t="s">
        <v>529</v>
      </c>
      <c r="B53" s="3">
        <v>555227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38F96-40B2-439D-A2C3-35CD7EB6F153}">
  <dimension ref="A1:K301"/>
  <sheetViews>
    <sheetView topLeftCell="A2" workbookViewId="0">
      <selection activeCell="N10" sqref="N10"/>
    </sheetView>
  </sheetViews>
  <sheetFormatPr defaultRowHeight="15" x14ac:dyDescent="0.25"/>
  <cols>
    <col min="1" max="1" width="11.140625" customWidth="1"/>
    <col min="2" max="2" width="13.7109375" customWidth="1"/>
    <col min="3" max="3" width="10.42578125" customWidth="1"/>
    <col min="4" max="4" width="13.85546875" customWidth="1"/>
    <col min="5" max="5" width="11.140625" customWidth="1"/>
    <col min="6" max="6" width="13.42578125" customWidth="1"/>
    <col min="7" max="7" width="10.85546875" customWidth="1"/>
    <col min="8" max="8" width="11" style="3" customWidth="1"/>
    <col min="9" max="10" width="9.140625" style="3"/>
    <col min="11" max="11" width="16.85546875" customWidth="1"/>
  </cols>
  <sheetData>
    <row r="1" spans="1:11" x14ac:dyDescent="0.25">
      <c r="A1" t="s">
        <v>0</v>
      </c>
      <c r="B1" t="s">
        <v>1</v>
      </c>
      <c r="C1" t="s">
        <v>2</v>
      </c>
      <c r="D1" t="s">
        <v>3</v>
      </c>
      <c r="E1" t="s">
        <v>4</v>
      </c>
      <c r="F1" t="s">
        <v>5</v>
      </c>
      <c r="G1" t="s">
        <v>6</v>
      </c>
      <c r="H1" s="3" t="s">
        <v>7</v>
      </c>
      <c r="I1" s="3" t="s">
        <v>8</v>
      </c>
      <c r="J1" s="3" t="s">
        <v>9</v>
      </c>
      <c r="K1" t="s">
        <v>531</v>
      </c>
    </row>
    <row r="2" spans="1:11" x14ac:dyDescent="0.25">
      <c r="A2" t="s">
        <v>10</v>
      </c>
      <c r="B2" s="1" t="s">
        <v>11</v>
      </c>
      <c r="C2" t="s">
        <v>12</v>
      </c>
      <c r="D2" t="s">
        <v>13</v>
      </c>
      <c r="E2" t="s">
        <v>14</v>
      </c>
      <c r="F2" t="s">
        <v>15</v>
      </c>
      <c r="G2" s="2">
        <v>1</v>
      </c>
      <c r="H2" s="3">
        <v>443</v>
      </c>
      <c r="I2" s="3">
        <v>299</v>
      </c>
      <c r="J2" s="3">
        <v>144</v>
      </c>
      <c r="K2" s="3" t="str">
        <f>TEXT(Sales_Clean_Data[[#This Row],[Order_Date]],"mmm")</f>
        <v>Mar</v>
      </c>
    </row>
    <row r="3" spans="1:11" x14ac:dyDescent="0.25">
      <c r="A3" t="s">
        <v>16</v>
      </c>
      <c r="B3" s="1" t="s">
        <v>17</v>
      </c>
      <c r="C3" t="s">
        <v>18</v>
      </c>
      <c r="D3" t="s">
        <v>19</v>
      </c>
      <c r="E3" t="s">
        <v>20</v>
      </c>
      <c r="F3" t="s">
        <v>21</v>
      </c>
      <c r="G3" s="2">
        <v>4</v>
      </c>
      <c r="H3" s="3">
        <v>1820</v>
      </c>
      <c r="I3" s="3">
        <v>1337</v>
      </c>
      <c r="J3" s="3">
        <v>483</v>
      </c>
      <c r="K3" s="3" t="str">
        <f>TEXT(Sales_Clean_Data[[#This Row],[Order_Date]],"mmm")</f>
        <v>Feb</v>
      </c>
    </row>
    <row r="4" spans="1:11" x14ac:dyDescent="0.25">
      <c r="A4" t="s">
        <v>22</v>
      </c>
      <c r="B4" s="1" t="s">
        <v>23</v>
      </c>
      <c r="C4" t="s">
        <v>24</v>
      </c>
      <c r="D4" t="s">
        <v>13</v>
      </c>
      <c r="E4" t="s">
        <v>14</v>
      </c>
      <c r="F4" t="s">
        <v>15</v>
      </c>
      <c r="G4" s="2">
        <v>4</v>
      </c>
      <c r="H4" s="3">
        <v>2212</v>
      </c>
      <c r="I4" s="3">
        <v>1493</v>
      </c>
      <c r="J4" s="3">
        <v>719</v>
      </c>
      <c r="K4" s="3" t="str">
        <f>TEXT(Sales_Clean_Data[[#This Row],[Order_Date]],"mmm")</f>
        <v>Dec</v>
      </c>
    </row>
    <row r="5" spans="1:11" x14ac:dyDescent="0.25">
      <c r="A5" t="s">
        <v>25</v>
      </c>
      <c r="B5" s="1" t="s">
        <v>26</v>
      </c>
      <c r="C5" t="s">
        <v>27</v>
      </c>
      <c r="D5" t="s">
        <v>28</v>
      </c>
      <c r="E5" t="s">
        <v>29</v>
      </c>
      <c r="F5" t="s">
        <v>15</v>
      </c>
      <c r="G5" s="2">
        <v>5</v>
      </c>
      <c r="H5" s="3">
        <v>5855</v>
      </c>
      <c r="I5" s="3">
        <v>3635</v>
      </c>
      <c r="J5" s="3">
        <v>2220</v>
      </c>
      <c r="K5" s="3" t="str">
        <f>TEXT(Sales_Clean_Data[[#This Row],[Order_Date]],"mmm")</f>
        <v>Jan</v>
      </c>
    </row>
    <row r="6" spans="1:11" x14ac:dyDescent="0.25">
      <c r="A6" t="s">
        <v>30</v>
      </c>
      <c r="B6" s="1" t="s">
        <v>31</v>
      </c>
      <c r="C6" t="s">
        <v>18</v>
      </c>
      <c r="D6" t="s">
        <v>32</v>
      </c>
      <c r="E6" t="s">
        <v>14</v>
      </c>
      <c r="F6" t="s">
        <v>15</v>
      </c>
      <c r="G6" s="2">
        <v>3</v>
      </c>
      <c r="H6" s="3">
        <v>1248</v>
      </c>
      <c r="I6" s="3">
        <v>763</v>
      </c>
      <c r="J6" s="3">
        <v>485</v>
      </c>
      <c r="K6" s="3" t="str">
        <f>TEXT(Sales_Clean_Data[[#This Row],[Order_Date]],"mmm")</f>
        <v>Apr</v>
      </c>
    </row>
    <row r="7" spans="1:11" x14ac:dyDescent="0.25">
      <c r="A7" t="s">
        <v>33</v>
      </c>
      <c r="B7" s="1" t="s">
        <v>34</v>
      </c>
      <c r="C7" t="s">
        <v>12</v>
      </c>
      <c r="D7" t="s">
        <v>32</v>
      </c>
      <c r="E7" t="s">
        <v>14</v>
      </c>
      <c r="F7" t="s">
        <v>15</v>
      </c>
      <c r="G7" s="2">
        <v>4</v>
      </c>
      <c r="H7" s="3">
        <v>624</v>
      </c>
      <c r="I7" s="3">
        <v>481</v>
      </c>
      <c r="J7" s="3">
        <v>143</v>
      </c>
      <c r="K7" s="3" t="str">
        <f>TEXT(Sales_Clean_Data[[#This Row],[Order_Date]],"mmm")</f>
        <v>Mar</v>
      </c>
    </row>
    <row r="8" spans="1:11" x14ac:dyDescent="0.25">
      <c r="A8" t="s">
        <v>35</v>
      </c>
      <c r="B8" s="1" t="s">
        <v>36</v>
      </c>
      <c r="C8" t="s">
        <v>12</v>
      </c>
      <c r="D8" t="s">
        <v>37</v>
      </c>
      <c r="E8" t="s">
        <v>38</v>
      </c>
      <c r="F8" t="s">
        <v>21</v>
      </c>
      <c r="G8" s="2">
        <v>4</v>
      </c>
      <c r="H8" s="3">
        <v>864</v>
      </c>
      <c r="I8" s="3">
        <v>592</v>
      </c>
      <c r="J8" s="3">
        <v>272</v>
      </c>
      <c r="K8" s="3" t="str">
        <f>TEXT(Sales_Clean_Data[[#This Row],[Order_Date]],"mmm")</f>
        <v>Oct</v>
      </c>
    </row>
    <row r="9" spans="1:11" x14ac:dyDescent="0.25">
      <c r="A9" t="s">
        <v>39</v>
      </c>
      <c r="B9" s="1" t="s">
        <v>40</v>
      </c>
      <c r="C9" t="s">
        <v>27</v>
      </c>
      <c r="D9" t="s">
        <v>37</v>
      </c>
      <c r="E9" t="s">
        <v>20</v>
      </c>
      <c r="F9" t="s">
        <v>21</v>
      </c>
      <c r="G9" s="2">
        <v>4</v>
      </c>
      <c r="H9" s="3">
        <v>4372</v>
      </c>
      <c r="I9" s="3">
        <v>3159</v>
      </c>
      <c r="J9" s="3">
        <v>1213</v>
      </c>
      <c r="K9" s="3" t="str">
        <f>TEXT(Sales_Clean_Data[[#This Row],[Order_Date]],"mmm")</f>
        <v>Feb</v>
      </c>
    </row>
    <row r="10" spans="1:11" x14ac:dyDescent="0.25">
      <c r="A10" t="s">
        <v>41</v>
      </c>
      <c r="B10" s="1" t="s">
        <v>42</v>
      </c>
      <c r="C10" t="s">
        <v>27</v>
      </c>
      <c r="D10" t="s">
        <v>13</v>
      </c>
      <c r="E10" t="s">
        <v>14</v>
      </c>
      <c r="F10" t="s">
        <v>15</v>
      </c>
      <c r="G10" s="2">
        <v>2</v>
      </c>
      <c r="H10" s="3">
        <v>1910</v>
      </c>
      <c r="I10" s="3">
        <v>1500</v>
      </c>
      <c r="J10" s="3">
        <v>410</v>
      </c>
      <c r="K10" s="3" t="str">
        <f>TEXT(Sales_Clean_Data[[#This Row],[Order_Date]],"mmm")</f>
        <v>Dec</v>
      </c>
    </row>
    <row r="11" spans="1:11" x14ac:dyDescent="0.25">
      <c r="A11" t="s">
        <v>43</v>
      </c>
      <c r="B11" s="1" t="s">
        <v>44</v>
      </c>
      <c r="C11" t="s">
        <v>18</v>
      </c>
      <c r="D11" t="s">
        <v>28</v>
      </c>
      <c r="E11" t="s">
        <v>14</v>
      </c>
      <c r="F11" t="s">
        <v>15</v>
      </c>
      <c r="G11" s="2">
        <v>5</v>
      </c>
      <c r="H11" s="3">
        <v>1125</v>
      </c>
      <c r="I11" s="3">
        <v>733</v>
      </c>
      <c r="J11" s="3">
        <v>392</v>
      </c>
      <c r="K11" s="3" t="str">
        <f>TEXT(Sales_Clean_Data[[#This Row],[Order_Date]],"mmm")</f>
        <v>Dec</v>
      </c>
    </row>
    <row r="12" spans="1:11" x14ac:dyDescent="0.25">
      <c r="A12" t="s">
        <v>45</v>
      </c>
      <c r="B12" s="1" t="s">
        <v>46</v>
      </c>
      <c r="C12" t="s">
        <v>24</v>
      </c>
      <c r="D12" t="s">
        <v>47</v>
      </c>
      <c r="E12" t="s">
        <v>38</v>
      </c>
      <c r="F12" t="s">
        <v>21</v>
      </c>
      <c r="G12" s="2">
        <v>4</v>
      </c>
      <c r="H12" s="3">
        <v>964</v>
      </c>
      <c r="I12" s="3">
        <v>680</v>
      </c>
      <c r="J12" s="3">
        <v>284</v>
      </c>
      <c r="K12" s="3" t="str">
        <f>TEXT(Sales_Clean_Data[[#This Row],[Order_Date]],"mmm")</f>
        <v>Jul</v>
      </c>
    </row>
    <row r="13" spans="1:11" x14ac:dyDescent="0.25">
      <c r="A13" t="s">
        <v>48</v>
      </c>
      <c r="B13" s="1" t="s">
        <v>49</v>
      </c>
      <c r="C13" t="s">
        <v>12</v>
      </c>
      <c r="D13" t="s">
        <v>28</v>
      </c>
      <c r="E13" t="s">
        <v>14</v>
      </c>
      <c r="F13" t="s">
        <v>15</v>
      </c>
      <c r="G13" s="2">
        <v>2</v>
      </c>
      <c r="H13" s="3">
        <v>292</v>
      </c>
      <c r="I13" s="3">
        <v>184</v>
      </c>
      <c r="J13" s="3">
        <v>108</v>
      </c>
      <c r="K13" s="3" t="str">
        <f>TEXT(Sales_Clean_Data[[#This Row],[Order_Date]],"mmm")</f>
        <v>Nov</v>
      </c>
    </row>
    <row r="14" spans="1:11" x14ac:dyDescent="0.25">
      <c r="A14" t="s">
        <v>50</v>
      </c>
      <c r="B14" s="1" t="s">
        <v>51</v>
      </c>
      <c r="C14" t="s">
        <v>24</v>
      </c>
      <c r="D14" t="s">
        <v>19</v>
      </c>
      <c r="E14" t="s">
        <v>20</v>
      </c>
      <c r="F14" t="s">
        <v>21</v>
      </c>
      <c r="G14" s="2">
        <v>3</v>
      </c>
      <c r="H14" s="3">
        <v>2988</v>
      </c>
      <c r="I14" s="3">
        <v>1847</v>
      </c>
      <c r="J14" s="3">
        <v>1141</v>
      </c>
      <c r="K14" s="3" t="str">
        <f>TEXT(Sales_Clean_Data[[#This Row],[Order_Date]],"mmm")</f>
        <v>Jul</v>
      </c>
    </row>
    <row r="15" spans="1:11" x14ac:dyDescent="0.25">
      <c r="A15" t="s">
        <v>52</v>
      </c>
      <c r="B15" s="1" t="s">
        <v>53</v>
      </c>
      <c r="C15" t="s">
        <v>12</v>
      </c>
      <c r="D15" t="s">
        <v>47</v>
      </c>
      <c r="E15" t="s">
        <v>20</v>
      </c>
      <c r="F15" t="s">
        <v>21</v>
      </c>
      <c r="G15" s="2">
        <v>3</v>
      </c>
      <c r="H15" s="3">
        <v>2136</v>
      </c>
      <c r="I15" s="3">
        <v>1440</v>
      </c>
      <c r="J15" s="3">
        <v>696</v>
      </c>
      <c r="K15" s="3" t="str">
        <f>TEXT(Sales_Clean_Data[[#This Row],[Order_Date]],"mmm")</f>
        <v>Jun</v>
      </c>
    </row>
    <row r="16" spans="1:11" x14ac:dyDescent="0.25">
      <c r="A16" t="s">
        <v>54</v>
      </c>
      <c r="B16" s="1" t="s">
        <v>55</v>
      </c>
      <c r="C16" t="s">
        <v>18</v>
      </c>
      <c r="D16" t="s">
        <v>19</v>
      </c>
      <c r="E16" t="s">
        <v>20</v>
      </c>
      <c r="F16" t="s">
        <v>21</v>
      </c>
      <c r="G16" s="2">
        <v>4</v>
      </c>
      <c r="H16" s="3">
        <v>804</v>
      </c>
      <c r="I16" s="3">
        <v>485</v>
      </c>
      <c r="J16" s="3">
        <v>319</v>
      </c>
      <c r="K16" s="3" t="str">
        <f>TEXT(Sales_Clean_Data[[#This Row],[Order_Date]],"mmm")</f>
        <v>Jul</v>
      </c>
    </row>
    <row r="17" spans="1:11" x14ac:dyDescent="0.25">
      <c r="A17" t="s">
        <v>56</v>
      </c>
      <c r="B17" s="1" t="s">
        <v>57</v>
      </c>
      <c r="C17" t="s">
        <v>24</v>
      </c>
      <c r="D17" t="s">
        <v>37</v>
      </c>
      <c r="E17" t="s">
        <v>58</v>
      </c>
      <c r="F17" t="s">
        <v>15</v>
      </c>
      <c r="G17" s="2">
        <v>4</v>
      </c>
      <c r="H17" s="3">
        <v>4228</v>
      </c>
      <c r="I17" s="3">
        <v>3238</v>
      </c>
      <c r="J17" s="3">
        <v>990</v>
      </c>
      <c r="K17" s="3" t="str">
        <f>TEXT(Sales_Clean_Data[[#This Row],[Order_Date]],"mmm")</f>
        <v>Oct</v>
      </c>
    </row>
    <row r="18" spans="1:11" x14ac:dyDescent="0.25">
      <c r="A18" t="s">
        <v>59</v>
      </c>
      <c r="B18" s="1" t="s">
        <v>60</v>
      </c>
      <c r="C18" t="s">
        <v>27</v>
      </c>
      <c r="D18" t="s">
        <v>47</v>
      </c>
      <c r="E18" t="s">
        <v>29</v>
      </c>
      <c r="F18" t="s">
        <v>15</v>
      </c>
      <c r="G18" s="2">
        <v>5</v>
      </c>
      <c r="H18" s="3">
        <v>935</v>
      </c>
      <c r="I18" s="3">
        <v>714</v>
      </c>
      <c r="J18" s="3">
        <v>221</v>
      </c>
      <c r="K18" s="3" t="str">
        <f>TEXT(Sales_Clean_Data[[#This Row],[Order_Date]],"mmm")</f>
        <v>Jul</v>
      </c>
    </row>
    <row r="19" spans="1:11" x14ac:dyDescent="0.25">
      <c r="A19" t="s">
        <v>61</v>
      </c>
      <c r="B19" s="1" t="s">
        <v>62</v>
      </c>
      <c r="C19" t="s">
        <v>24</v>
      </c>
      <c r="D19" t="s">
        <v>47</v>
      </c>
      <c r="E19" t="s">
        <v>29</v>
      </c>
      <c r="F19" t="s">
        <v>15</v>
      </c>
      <c r="G19" s="2">
        <v>3</v>
      </c>
      <c r="H19" s="3">
        <v>2547</v>
      </c>
      <c r="I19" s="3">
        <v>1611</v>
      </c>
      <c r="J19" s="3">
        <v>936</v>
      </c>
      <c r="K19" s="3" t="str">
        <f>TEXT(Sales_Clean_Data[[#This Row],[Order_Date]],"mmm")</f>
        <v>Apr</v>
      </c>
    </row>
    <row r="20" spans="1:11" x14ac:dyDescent="0.25">
      <c r="A20" t="s">
        <v>63</v>
      </c>
      <c r="B20" s="1" t="s">
        <v>64</v>
      </c>
      <c r="C20" t="s">
        <v>12</v>
      </c>
      <c r="D20" t="s">
        <v>47</v>
      </c>
      <c r="E20" t="s">
        <v>29</v>
      </c>
      <c r="F20" t="s">
        <v>15</v>
      </c>
      <c r="G20" s="2">
        <v>3</v>
      </c>
      <c r="H20" s="3">
        <v>3324</v>
      </c>
      <c r="I20" s="3">
        <v>2310</v>
      </c>
      <c r="J20" s="3">
        <v>1014</v>
      </c>
      <c r="K20" s="3" t="str">
        <f>TEXT(Sales_Clean_Data[[#This Row],[Order_Date]],"mmm")</f>
        <v>Sep</v>
      </c>
    </row>
    <row r="21" spans="1:11" x14ac:dyDescent="0.25">
      <c r="A21" t="s">
        <v>65</v>
      </c>
      <c r="B21" s="1" t="s">
        <v>66</v>
      </c>
      <c r="C21" t="s">
        <v>12</v>
      </c>
      <c r="D21" t="s">
        <v>19</v>
      </c>
      <c r="E21" t="s">
        <v>38</v>
      </c>
      <c r="F21" t="s">
        <v>21</v>
      </c>
      <c r="G21" s="2">
        <v>1</v>
      </c>
      <c r="H21" s="3">
        <v>223</v>
      </c>
      <c r="I21" s="3">
        <v>176</v>
      </c>
      <c r="J21" s="3">
        <v>47</v>
      </c>
      <c r="K21" s="3" t="str">
        <f>TEXT(Sales_Clean_Data[[#This Row],[Order_Date]],"mmm")</f>
        <v>Nov</v>
      </c>
    </row>
    <row r="22" spans="1:11" x14ac:dyDescent="0.25">
      <c r="A22" t="s">
        <v>67</v>
      </c>
      <c r="B22" s="1" t="s">
        <v>68</v>
      </c>
      <c r="C22" t="s">
        <v>18</v>
      </c>
      <c r="D22" t="s">
        <v>37</v>
      </c>
      <c r="E22" t="s">
        <v>58</v>
      </c>
      <c r="F22" t="s">
        <v>15</v>
      </c>
      <c r="G22" s="2">
        <v>2</v>
      </c>
      <c r="H22" s="3">
        <v>1910</v>
      </c>
      <c r="I22" s="3">
        <v>1493</v>
      </c>
      <c r="J22" s="3">
        <v>417</v>
      </c>
      <c r="K22" s="3" t="str">
        <f>TEXT(Sales_Clean_Data[[#This Row],[Order_Date]],"mmm")</f>
        <v>Jun</v>
      </c>
    </row>
    <row r="23" spans="1:11" x14ac:dyDescent="0.25">
      <c r="A23" t="s">
        <v>69</v>
      </c>
      <c r="B23" s="1" t="s">
        <v>70</v>
      </c>
      <c r="C23" t="s">
        <v>18</v>
      </c>
      <c r="D23" t="s">
        <v>37</v>
      </c>
      <c r="E23" t="s">
        <v>71</v>
      </c>
      <c r="F23" t="s">
        <v>21</v>
      </c>
      <c r="G23" s="2">
        <v>1</v>
      </c>
      <c r="H23" s="3">
        <v>1008</v>
      </c>
      <c r="I23" s="3">
        <v>641</v>
      </c>
      <c r="J23" s="3">
        <v>367</v>
      </c>
      <c r="K23" s="3" t="str">
        <f>TEXT(Sales_Clean_Data[[#This Row],[Order_Date]],"mmm")</f>
        <v>Jun</v>
      </c>
    </row>
    <row r="24" spans="1:11" x14ac:dyDescent="0.25">
      <c r="A24" t="s">
        <v>72</v>
      </c>
      <c r="B24" s="1" t="s">
        <v>73</v>
      </c>
      <c r="C24" t="s">
        <v>12</v>
      </c>
      <c r="D24" t="s">
        <v>28</v>
      </c>
      <c r="E24" t="s">
        <v>29</v>
      </c>
      <c r="F24" t="s">
        <v>15</v>
      </c>
      <c r="G24" s="2">
        <v>1</v>
      </c>
      <c r="H24" s="3">
        <v>503</v>
      </c>
      <c r="I24" s="3">
        <v>316</v>
      </c>
      <c r="J24" s="3">
        <v>187</v>
      </c>
      <c r="K24" s="3" t="str">
        <f>TEXT(Sales_Clean_Data[[#This Row],[Order_Date]],"mmm")</f>
        <v>Aug</v>
      </c>
    </row>
    <row r="25" spans="1:11" x14ac:dyDescent="0.25">
      <c r="A25" t="s">
        <v>74</v>
      </c>
      <c r="B25" s="1" t="s">
        <v>75</v>
      </c>
      <c r="C25" t="s">
        <v>12</v>
      </c>
      <c r="D25" t="s">
        <v>37</v>
      </c>
      <c r="E25" t="s">
        <v>29</v>
      </c>
      <c r="F25" t="s">
        <v>15</v>
      </c>
      <c r="G25" s="2">
        <v>1</v>
      </c>
      <c r="H25" s="3">
        <v>409</v>
      </c>
      <c r="I25" s="3">
        <v>293</v>
      </c>
      <c r="J25" s="3">
        <v>116</v>
      </c>
      <c r="K25" s="3" t="str">
        <f>TEXT(Sales_Clean_Data[[#This Row],[Order_Date]],"mmm")</f>
        <v>Aug</v>
      </c>
    </row>
    <row r="26" spans="1:11" x14ac:dyDescent="0.25">
      <c r="A26" t="s">
        <v>76</v>
      </c>
      <c r="B26" s="1" t="s">
        <v>77</v>
      </c>
      <c r="C26" t="s">
        <v>12</v>
      </c>
      <c r="D26" t="s">
        <v>19</v>
      </c>
      <c r="E26" t="s">
        <v>14</v>
      </c>
      <c r="F26" t="s">
        <v>15</v>
      </c>
      <c r="G26" s="2">
        <v>2</v>
      </c>
      <c r="H26" s="3">
        <v>732</v>
      </c>
      <c r="I26" s="3">
        <v>504</v>
      </c>
      <c r="J26" s="3">
        <v>228</v>
      </c>
      <c r="K26" s="3" t="str">
        <f>TEXT(Sales_Clean_Data[[#This Row],[Order_Date]],"mmm")</f>
        <v>Feb</v>
      </c>
    </row>
    <row r="27" spans="1:11" x14ac:dyDescent="0.25">
      <c r="A27" t="s">
        <v>78</v>
      </c>
      <c r="B27" s="1" t="s">
        <v>79</v>
      </c>
      <c r="C27" t="s">
        <v>18</v>
      </c>
      <c r="D27" t="s">
        <v>28</v>
      </c>
      <c r="E27" t="s">
        <v>29</v>
      </c>
      <c r="F27" t="s">
        <v>15</v>
      </c>
      <c r="G27" s="2">
        <v>2</v>
      </c>
      <c r="H27" s="3">
        <v>932</v>
      </c>
      <c r="I27" s="3">
        <v>601</v>
      </c>
      <c r="J27" s="3">
        <v>331</v>
      </c>
      <c r="K27" s="3" t="str">
        <f>TEXT(Sales_Clean_Data[[#This Row],[Order_Date]],"mmm")</f>
        <v>Nov</v>
      </c>
    </row>
    <row r="28" spans="1:11" x14ac:dyDescent="0.25">
      <c r="A28" t="s">
        <v>80</v>
      </c>
      <c r="B28" s="1" t="s">
        <v>81</v>
      </c>
      <c r="C28" t="s">
        <v>27</v>
      </c>
      <c r="D28" t="s">
        <v>13</v>
      </c>
      <c r="E28" t="s">
        <v>38</v>
      </c>
      <c r="F28" t="s">
        <v>21</v>
      </c>
      <c r="G28" s="2">
        <v>1</v>
      </c>
      <c r="H28" s="3">
        <v>696</v>
      </c>
      <c r="I28" s="3">
        <v>452</v>
      </c>
      <c r="J28" s="3">
        <v>244</v>
      </c>
      <c r="K28" s="3" t="str">
        <f>TEXT(Sales_Clean_Data[[#This Row],[Order_Date]],"mmm")</f>
        <v>Oct</v>
      </c>
    </row>
    <row r="29" spans="1:11" x14ac:dyDescent="0.25">
      <c r="A29" t="s">
        <v>82</v>
      </c>
      <c r="B29" s="1" t="s">
        <v>83</v>
      </c>
      <c r="C29" t="s">
        <v>24</v>
      </c>
      <c r="D29" t="s">
        <v>19</v>
      </c>
      <c r="E29" t="s">
        <v>58</v>
      </c>
      <c r="F29" t="s">
        <v>15</v>
      </c>
      <c r="G29" s="2">
        <v>3</v>
      </c>
      <c r="H29" s="3">
        <v>1581</v>
      </c>
      <c r="I29" s="3">
        <v>1120</v>
      </c>
      <c r="J29" s="3">
        <v>461</v>
      </c>
      <c r="K29" s="3" t="str">
        <f>TEXT(Sales_Clean_Data[[#This Row],[Order_Date]],"mmm")</f>
        <v>Sep</v>
      </c>
    </row>
    <row r="30" spans="1:11" x14ac:dyDescent="0.25">
      <c r="A30" t="s">
        <v>84</v>
      </c>
      <c r="B30" s="1" t="s">
        <v>85</v>
      </c>
      <c r="C30" t="s">
        <v>27</v>
      </c>
      <c r="D30" t="s">
        <v>13</v>
      </c>
      <c r="E30" t="s">
        <v>14</v>
      </c>
      <c r="F30" t="s">
        <v>15</v>
      </c>
      <c r="G30" s="2">
        <v>5</v>
      </c>
      <c r="H30" s="3">
        <v>3965</v>
      </c>
      <c r="I30" s="3">
        <v>2854</v>
      </c>
      <c r="J30" s="3">
        <v>1111</v>
      </c>
      <c r="K30" s="3" t="str">
        <f>TEXT(Sales_Clean_Data[[#This Row],[Order_Date]],"mmm")</f>
        <v>Nov</v>
      </c>
    </row>
    <row r="31" spans="1:11" x14ac:dyDescent="0.25">
      <c r="A31" t="s">
        <v>86</v>
      </c>
      <c r="B31" s="1" t="s">
        <v>87</v>
      </c>
      <c r="C31" t="s">
        <v>24</v>
      </c>
      <c r="D31" t="s">
        <v>13</v>
      </c>
      <c r="E31" t="s">
        <v>29</v>
      </c>
      <c r="F31" t="s">
        <v>15</v>
      </c>
      <c r="G31" s="2">
        <v>5</v>
      </c>
      <c r="H31" s="3">
        <v>3660</v>
      </c>
      <c r="I31" s="3">
        <v>2724</v>
      </c>
      <c r="J31" s="3">
        <v>936</v>
      </c>
      <c r="K31" s="3" t="str">
        <f>TEXT(Sales_Clean_Data[[#This Row],[Order_Date]],"mmm")</f>
        <v>Oct</v>
      </c>
    </row>
    <row r="32" spans="1:11" x14ac:dyDescent="0.25">
      <c r="A32" t="s">
        <v>88</v>
      </c>
      <c r="B32" s="1" t="s">
        <v>89</v>
      </c>
      <c r="C32" t="s">
        <v>18</v>
      </c>
      <c r="D32" t="s">
        <v>28</v>
      </c>
      <c r="E32" t="s">
        <v>38</v>
      </c>
      <c r="F32" t="s">
        <v>21</v>
      </c>
      <c r="G32" s="2">
        <v>1</v>
      </c>
      <c r="H32" s="3">
        <v>735</v>
      </c>
      <c r="I32" s="3">
        <v>485</v>
      </c>
      <c r="J32" s="3">
        <v>250</v>
      </c>
      <c r="K32" s="3" t="str">
        <f>TEXT(Sales_Clean_Data[[#This Row],[Order_Date]],"mmm")</f>
        <v>Mar</v>
      </c>
    </row>
    <row r="33" spans="1:11" x14ac:dyDescent="0.25">
      <c r="A33" t="s">
        <v>90</v>
      </c>
      <c r="B33" s="1" t="s">
        <v>91</v>
      </c>
      <c r="C33" t="s">
        <v>24</v>
      </c>
      <c r="D33" t="s">
        <v>19</v>
      </c>
      <c r="E33" t="s">
        <v>29</v>
      </c>
      <c r="F33" t="s">
        <v>15</v>
      </c>
      <c r="G33" s="2">
        <v>5</v>
      </c>
      <c r="H33" s="3">
        <v>2910</v>
      </c>
      <c r="I33" s="3">
        <v>2269</v>
      </c>
      <c r="J33" s="3">
        <v>641</v>
      </c>
      <c r="K33" s="3" t="str">
        <f>TEXT(Sales_Clean_Data[[#This Row],[Order_Date]],"mmm")</f>
        <v>Jan</v>
      </c>
    </row>
    <row r="34" spans="1:11" x14ac:dyDescent="0.25">
      <c r="A34" t="s">
        <v>92</v>
      </c>
      <c r="B34" s="1" t="s">
        <v>93</v>
      </c>
      <c r="C34" t="s">
        <v>27</v>
      </c>
      <c r="D34" t="s">
        <v>32</v>
      </c>
      <c r="E34" t="s">
        <v>20</v>
      </c>
      <c r="F34" t="s">
        <v>21</v>
      </c>
      <c r="G34" s="2">
        <v>4</v>
      </c>
      <c r="H34" s="3">
        <v>1816</v>
      </c>
      <c r="I34" s="3">
        <v>1213</v>
      </c>
      <c r="J34" s="3">
        <v>603</v>
      </c>
      <c r="K34" s="3" t="str">
        <f>TEXT(Sales_Clean_Data[[#This Row],[Order_Date]],"mmm")</f>
        <v>Jun</v>
      </c>
    </row>
    <row r="35" spans="1:11" x14ac:dyDescent="0.25">
      <c r="A35" t="s">
        <v>94</v>
      </c>
      <c r="B35" s="1" t="s">
        <v>95</v>
      </c>
      <c r="C35" t="s">
        <v>18</v>
      </c>
      <c r="D35" t="s">
        <v>37</v>
      </c>
      <c r="E35" t="s">
        <v>38</v>
      </c>
      <c r="F35" t="s">
        <v>21</v>
      </c>
      <c r="G35" s="2">
        <v>1</v>
      </c>
      <c r="H35" s="3">
        <v>1117</v>
      </c>
      <c r="I35" s="3">
        <v>845</v>
      </c>
      <c r="J35" s="3">
        <v>272</v>
      </c>
      <c r="K35" s="3" t="str">
        <f>TEXT(Sales_Clean_Data[[#This Row],[Order_Date]],"mmm")</f>
        <v>Feb</v>
      </c>
    </row>
    <row r="36" spans="1:11" x14ac:dyDescent="0.25">
      <c r="A36" t="s">
        <v>96</v>
      </c>
      <c r="B36" s="1" t="s">
        <v>97</v>
      </c>
      <c r="C36" t="s">
        <v>27</v>
      </c>
      <c r="D36" t="s">
        <v>28</v>
      </c>
      <c r="E36" t="s">
        <v>14</v>
      </c>
      <c r="F36" t="s">
        <v>15</v>
      </c>
      <c r="G36" s="2">
        <v>3</v>
      </c>
      <c r="H36" s="3">
        <v>1485</v>
      </c>
      <c r="I36" s="3">
        <v>1073</v>
      </c>
      <c r="J36" s="3">
        <v>412</v>
      </c>
      <c r="K36" s="3" t="str">
        <f>TEXT(Sales_Clean_Data[[#This Row],[Order_Date]],"mmm")</f>
        <v>May</v>
      </c>
    </row>
    <row r="37" spans="1:11" x14ac:dyDescent="0.25">
      <c r="A37" t="s">
        <v>98</v>
      </c>
      <c r="B37" s="1" t="s">
        <v>99</v>
      </c>
      <c r="C37" t="s">
        <v>24</v>
      </c>
      <c r="D37" t="s">
        <v>47</v>
      </c>
      <c r="E37" t="s">
        <v>20</v>
      </c>
      <c r="F37" t="s">
        <v>21</v>
      </c>
      <c r="G37" s="2">
        <v>4</v>
      </c>
      <c r="H37" s="3">
        <v>1192</v>
      </c>
      <c r="I37" s="3">
        <v>882</v>
      </c>
      <c r="J37" s="3">
        <v>310</v>
      </c>
      <c r="K37" s="3" t="str">
        <f>TEXT(Sales_Clean_Data[[#This Row],[Order_Date]],"mmm")</f>
        <v>Apr</v>
      </c>
    </row>
    <row r="38" spans="1:11" x14ac:dyDescent="0.25">
      <c r="A38" t="s">
        <v>100</v>
      </c>
      <c r="B38" s="1" t="s">
        <v>101</v>
      </c>
      <c r="C38" t="s">
        <v>24</v>
      </c>
      <c r="D38" t="s">
        <v>13</v>
      </c>
      <c r="E38" t="s">
        <v>58</v>
      </c>
      <c r="F38" t="s">
        <v>15</v>
      </c>
      <c r="G38" s="2">
        <v>2</v>
      </c>
      <c r="H38" s="3">
        <v>2120</v>
      </c>
      <c r="I38" s="3">
        <v>1594</v>
      </c>
      <c r="J38" s="3">
        <v>526</v>
      </c>
      <c r="K38" s="3" t="str">
        <f>TEXT(Sales_Clean_Data[[#This Row],[Order_Date]],"mmm")</f>
        <v>Jun</v>
      </c>
    </row>
    <row r="39" spans="1:11" x14ac:dyDescent="0.25">
      <c r="A39" t="s">
        <v>102</v>
      </c>
      <c r="B39" s="1" t="s">
        <v>103</v>
      </c>
      <c r="C39" t="s">
        <v>27</v>
      </c>
      <c r="D39" t="s">
        <v>13</v>
      </c>
      <c r="E39" t="s">
        <v>58</v>
      </c>
      <c r="F39" t="s">
        <v>15</v>
      </c>
      <c r="G39" s="2">
        <v>3</v>
      </c>
      <c r="H39" s="3">
        <v>3564</v>
      </c>
      <c r="I39" s="3">
        <v>2634</v>
      </c>
      <c r="J39" s="3">
        <v>930</v>
      </c>
      <c r="K39" s="3" t="str">
        <f>TEXT(Sales_Clean_Data[[#This Row],[Order_Date]],"mmm")</f>
        <v>Aug</v>
      </c>
    </row>
    <row r="40" spans="1:11" x14ac:dyDescent="0.25">
      <c r="A40" t="s">
        <v>104</v>
      </c>
      <c r="B40" s="1" t="s">
        <v>105</v>
      </c>
      <c r="C40" t="s">
        <v>24</v>
      </c>
      <c r="D40" t="s">
        <v>19</v>
      </c>
      <c r="E40" t="s">
        <v>14</v>
      </c>
      <c r="F40" t="s">
        <v>15</v>
      </c>
      <c r="G40" s="2">
        <v>2</v>
      </c>
      <c r="H40" s="3">
        <v>1498</v>
      </c>
      <c r="I40" s="3">
        <v>1008</v>
      </c>
      <c r="J40" s="3">
        <v>490</v>
      </c>
      <c r="K40" s="3" t="str">
        <f>TEXT(Sales_Clean_Data[[#This Row],[Order_Date]],"mmm")</f>
        <v>Jul</v>
      </c>
    </row>
    <row r="41" spans="1:11" x14ac:dyDescent="0.25">
      <c r="A41" t="s">
        <v>106</v>
      </c>
      <c r="B41" s="1" t="s">
        <v>107</v>
      </c>
      <c r="C41" t="s">
        <v>18</v>
      </c>
      <c r="D41" t="s">
        <v>32</v>
      </c>
      <c r="E41" t="s">
        <v>38</v>
      </c>
      <c r="F41" t="s">
        <v>21</v>
      </c>
      <c r="G41" s="2">
        <v>4</v>
      </c>
      <c r="H41" s="3">
        <v>3868</v>
      </c>
      <c r="I41" s="3">
        <v>2375</v>
      </c>
      <c r="J41" s="3">
        <v>1493</v>
      </c>
      <c r="K41" s="3" t="str">
        <f>TEXT(Sales_Clean_Data[[#This Row],[Order_Date]],"mmm")</f>
        <v>Nov</v>
      </c>
    </row>
    <row r="42" spans="1:11" x14ac:dyDescent="0.25">
      <c r="A42" t="s">
        <v>108</v>
      </c>
      <c r="B42" s="1" t="s">
        <v>109</v>
      </c>
      <c r="C42" t="s">
        <v>18</v>
      </c>
      <c r="D42" t="s">
        <v>37</v>
      </c>
      <c r="E42" t="s">
        <v>71</v>
      </c>
      <c r="F42" t="s">
        <v>21</v>
      </c>
      <c r="G42" s="2">
        <v>5</v>
      </c>
      <c r="H42" s="3">
        <v>4400</v>
      </c>
      <c r="I42" s="3">
        <v>3393</v>
      </c>
      <c r="J42" s="3">
        <v>1007</v>
      </c>
      <c r="K42" s="3" t="str">
        <f>TEXT(Sales_Clean_Data[[#This Row],[Order_Date]],"mmm")</f>
        <v>Nov</v>
      </c>
    </row>
    <row r="43" spans="1:11" x14ac:dyDescent="0.25">
      <c r="A43" t="s">
        <v>110</v>
      </c>
      <c r="B43" s="1" t="s">
        <v>111</v>
      </c>
      <c r="C43" t="s">
        <v>24</v>
      </c>
      <c r="D43" t="s">
        <v>47</v>
      </c>
      <c r="E43" t="s">
        <v>58</v>
      </c>
      <c r="F43" t="s">
        <v>15</v>
      </c>
      <c r="G43" s="2">
        <v>2</v>
      </c>
      <c r="H43" s="3">
        <v>626</v>
      </c>
      <c r="I43" s="3">
        <v>380</v>
      </c>
      <c r="J43" s="3">
        <v>246</v>
      </c>
      <c r="K43" s="3" t="str">
        <f>TEXT(Sales_Clean_Data[[#This Row],[Order_Date]],"mmm")</f>
        <v>Feb</v>
      </c>
    </row>
    <row r="44" spans="1:11" x14ac:dyDescent="0.25">
      <c r="A44" t="s">
        <v>112</v>
      </c>
      <c r="B44" s="1" t="s">
        <v>113</v>
      </c>
      <c r="C44" t="s">
        <v>27</v>
      </c>
      <c r="D44" t="s">
        <v>13</v>
      </c>
      <c r="E44" t="s">
        <v>29</v>
      </c>
      <c r="F44" t="s">
        <v>15</v>
      </c>
      <c r="G44" s="2">
        <v>5</v>
      </c>
      <c r="H44" s="3">
        <v>3960</v>
      </c>
      <c r="I44" s="3">
        <v>2412</v>
      </c>
      <c r="J44" s="3">
        <v>1548</v>
      </c>
      <c r="K44" s="3" t="str">
        <f>TEXT(Sales_Clean_Data[[#This Row],[Order_Date]],"mmm")</f>
        <v>Aug</v>
      </c>
    </row>
    <row r="45" spans="1:11" x14ac:dyDescent="0.25">
      <c r="A45" t="s">
        <v>114</v>
      </c>
      <c r="B45" s="1" t="s">
        <v>115</v>
      </c>
      <c r="C45" t="s">
        <v>24</v>
      </c>
      <c r="D45" t="s">
        <v>19</v>
      </c>
      <c r="E45" t="s">
        <v>14</v>
      </c>
      <c r="F45" t="s">
        <v>15</v>
      </c>
      <c r="G45" s="2">
        <v>5</v>
      </c>
      <c r="H45" s="3">
        <v>3005</v>
      </c>
      <c r="I45" s="3">
        <v>2345</v>
      </c>
      <c r="J45" s="3">
        <v>660</v>
      </c>
      <c r="K45" s="3" t="str">
        <f>TEXT(Sales_Clean_Data[[#This Row],[Order_Date]],"mmm")</f>
        <v>Apr</v>
      </c>
    </row>
    <row r="46" spans="1:11" x14ac:dyDescent="0.25">
      <c r="A46" t="s">
        <v>116</v>
      </c>
      <c r="B46" s="1" t="s">
        <v>117</v>
      </c>
      <c r="C46" t="s">
        <v>24</v>
      </c>
      <c r="D46" t="s">
        <v>19</v>
      </c>
      <c r="E46" t="s">
        <v>20</v>
      </c>
      <c r="F46" t="s">
        <v>21</v>
      </c>
      <c r="G46" s="2">
        <v>2</v>
      </c>
      <c r="H46" s="3">
        <v>1102</v>
      </c>
      <c r="I46" s="3">
        <v>762</v>
      </c>
      <c r="J46" s="3">
        <v>340</v>
      </c>
      <c r="K46" s="3" t="str">
        <f>TEXT(Sales_Clean_Data[[#This Row],[Order_Date]],"mmm")</f>
        <v>Jul</v>
      </c>
    </row>
    <row r="47" spans="1:11" x14ac:dyDescent="0.25">
      <c r="A47" t="s">
        <v>118</v>
      </c>
      <c r="B47" s="1" t="s">
        <v>119</v>
      </c>
      <c r="C47" t="s">
        <v>18</v>
      </c>
      <c r="D47" t="s">
        <v>37</v>
      </c>
      <c r="E47" t="s">
        <v>14</v>
      </c>
      <c r="F47" t="s">
        <v>15</v>
      </c>
      <c r="G47" s="2">
        <v>4</v>
      </c>
      <c r="H47" s="3">
        <v>860</v>
      </c>
      <c r="I47" s="3">
        <v>522</v>
      </c>
      <c r="J47" s="3">
        <v>338</v>
      </c>
      <c r="K47" s="3" t="str">
        <f>TEXT(Sales_Clean_Data[[#This Row],[Order_Date]],"mmm")</f>
        <v>Mar</v>
      </c>
    </row>
    <row r="48" spans="1:11" x14ac:dyDescent="0.25">
      <c r="A48" t="s">
        <v>120</v>
      </c>
      <c r="B48" s="1" t="s">
        <v>121</v>
      </c>
      <c r="C48" t="s">
        <v>27</v>
      </c>
      <c r="D48" t="s">
        <v>28</v>
      </c>
      <c r="E48" t="s">
        <v>20</v>
      </c>
      <c r="F48" t="s">
        <v>21</v>
      </c>
      <c r="G48" s="2">
        <v>4</v>
      </c>
      <c r="H48" s="3">
        <v>952</v>
      </c>
      <c r="I48" s="3">
        <v>719</v>
      </c>
      <c r="J48" s="3">
        <v>233</v>
      </c>
      <c r="K48" s="3" t="str">
        <f>TEXT(Sales_Clean_Data[[#This Row],[Order_Date]],"mmm")</f>
        <v>Dec</v>
      </c>
    </row>
    <row r="49" spans="1:11" x14ac:dyDescent="0.25">
      <c r="A49" t="s">
        <v>122</v>
      </c>
      <c r="B49" s="1" t="s">
        <v>123</v>
      </c>
      <c r="C49" t="s">
        <v>27</v>
      </c>
      <c r="D49" t="s">
        <v>37</v>
      </c>
      <c r="E49" t="s">
        <v>38</v>
      </c>
      <c r="F49" t="s">
        <v>21</v>
      </c>
      <c r="G49" s="2">
        <v>2</v>
      </c>
      <c r="H49" s="3">
        <v>834</v>
      </c>
      <c r="I49" s="3">
        <v>619</v>
      </c>
      <c r="J49" s="3">
        <v>215</v>
      </c>
      <c r="K49" s="3" t="str">
        <f>TEXT(Sales_Clean_Data[[#This Row],[Order_Date]],"mmm")</f>
        <v>Jan</v>
      </c>
    </row>
    <row r="50" spans="1:11" x14ac:dyDescent="0.25">
      <c r="A50" t="s">
        <v>124</v>
      </c>
      <c r="B50" s="1" t="s">
        <v>125</v>
      </c>
      <c r="C50" t="s">
        <v>24</v>
      </c>
      <c r="D50" t="s">
        <v>37</v>
      </c>
      <c r="E50" t="s">
        <v>29</v>
      </c>
      <c r="F50" t="s">
        <v>15</v>
      </c>
      <c r="G50" s="2">
        <v>4</v>
      </c>
      <c r="H50" s="3">
        <v>3764</v>
      </c>
      <c r="I50" s="3">
        <v>2765</v>
      </c>
      <c r="J50" s="3">
        <v>999</v>
      </c>
      <c r="K50" s="3" t="str">
        <f>TEXT(Sales_Clean_Data[[#This Row],[Order_Date]],"mmm")</f>
        <v>May</v>
      </c>
    </row>
    <row r="51" spans="1:11" x14ac:dyDescent="0.25">
      <c r="A51" t="s">
        <v>126</v>
      </c>
      <c r="B51" s="1" t="s">
        <v>93</v>
      </c>
      <c r="C51" t="s">
        <v>12</v>
      </c>
      <c r="D51" t="s">
        <v>37</v>
      </c>
      <c r="E51" t="s">
        <v>71</v>
      </c>
      <c r="F51" t="s">
        <v>21</v>
      </c>
      <c r="G51" s="2">
        <v>2</v>
      </c>
      <c r="H51" s="3">
        <v>1914</v>
      </c>
      <c r="I51" s="3">
        <v>1285</v>
      </c>
      <c r="J51" s="3">
        <v>629</v>
      </c>
      <c r="K51" s="3" t="str">
        <f>TEXT(Sales_Clean_Data[[#This Row],[Order_Date]],"mmm")</f>
        <v>Jun</v>
      </c>
    </row>
    <row r="52" spans="1:11" x14ac:dyDescent="0.25">
      <c r="A52" t="s">
        <v>127</v>
      </c>
      <c r="B52" s="1" t="s">
        <v>128</v>
      </c>
      <c r="C52" t="s">
        <v>18</v>
      </c>
      <c r="D52" t="s">
        <v>32</v>
      </c>
      <c r="E52" t="s">
        <v>58</v>
      </c>
      <c r="F52" t="s">
        <v>15</v>
      </c>
      <c r="G52" s="2">
        <v>4</v>
      </c>
      <c r="H52" s="3">
        <v>4748</v>
      </c>
      <c r="I52" s="3">
        <v>3793</v>
      </c>
      <c r="J52" s="3">
        <v>955</v>
      </c>
      <c r="K52" s="3" t="str">
        <f>TEXT(Sales_Clean_Data[[#This Row],[Order_Date]],"mmm")</f>
        <v>Sep</v>
      </c>
    </row>
    <row r="53" spans="1:11" x14ac:dyDescent="0.25">
      <c r="A53" t="s">
        <v>129</v>
      </c>
      <c r="B53" s="1" t="s">
        <v>130</v>
      </c>
      <c r="C53" t="s">
        <v>12</v>
      </c>
      <c r="D53" t="s">
        <v>32</v>
      </c>
      <c r="E53" t="s">
        <v>29</v>
      </c>
      <c r="F53" t="s">
        <v>15</v>
      </c>
      <c r="G53" s="2">
        <v>5</v>
      </c>
      <c r="H53" s="3">
        <v>2795</v>
      </c>
      <c r="I53" s="3">
        <v>1951</v>
      </c>
      <c r="J53" s="3">
        <v>844</v>
      </c>
      <c r="K53" s="3" t="str">
        <f>TEXT(Sales_Clean_Data[[#This Row],[Order_Date]],"mmm")</f>
        <v>Mar</v>
      </c>
    </row>
    <row r="54" spans="1:11" x14ac:dyDescent="0.25">
      <c r="A54" t="s">
        <v>131</v>
      </c>
      <c r="B54" s="1" t="s">
        <v>132</v>
      </c>
      <c r="C54" t="s">
        <v>24</v>
      </c>
      <c r="D54" t="s">
        <v>32</v>
      </c>
      <c r="E54" t="s">
        <v>20</v>
      </c>
      <c r="F54" t="s">
        <v>21</v>
      </c>
      <c r="G54" s="2">
        <v>1</v>
      </c>
      <c r="H54" s="3">
        <v>465</v>
      </c>
      <c r="I54" s="3">
        <v>280</v>
      </c>
      <c r="J54" s="3">
        <v>185</v>
      </c>
      <c r="K54" s="3" t="str">
        <f>TEXT(Sales_Clean_Data[[#This Row],[Order_Date]],"mmm")</f>
        <v>Mar</v>
      </c>
    </row>
    <row r="55" spans="1:11" x14ac:dyDescent="0.25">
      <c r="A55" t="s">
        <v>133</v>
      </c>
      <c r="B55" s="1" t="s">
        <v>134</v>
      </c>
      <c r="C55" t="s">
        <v>24</v>
      </c>
      <c r="D55" t="s">
        <v>32</v>
      </c>
      <c r="E55" t="s">
        <v>38</v>
      </c>
      <c r="F55" t="s">
        <v>21</v>
      </c>
      <c r="G55" s="2">
        <v>4</v>
      </c>
      <c r="H55" s="3">
        <v>3016</v>
      </c>
      <c r="I55" s="3">
        <v>2371</v>
      </c>
      <c r="J55" s="3">
        <v>645</v>
      </c>
      <c r="K55" s="3" t="str">
        <f>TEXT(Sales_Clean_Data[[#This Row],[Order_Date]],"mmm")</f>
        <v>Mar</v>
      </c>
    </row>
    <row r="56" spans="1:11" x14ac:dyDescent="0.25">
      <c r="A56" t="s">
        <v>135</v>
      </c>
      <c r="B56" s="1" t="s">
        <v>136</v>
      </c>
      <c r="C56" t="s">
        <v>27</v>
      </c>
      <c r="D56" t="s">
        <v>13</v>
      </c>
      <c r="E56" t="s">
        <v>38</v>
      </c>
      <c r="F56" t="s">
        <v>21</v>
      </c>
      <c r="G56" s="2">
        <v>3</v>
      </c>
      <c r="H56" s="3">
        <v>2100</v>
      </c>
      <c r="I56" s="3">
        <v>1500</v>
      </c>
      <c r="J56" s="3">
        <v>600</v>
      </c>
      <c r="K56" s="3" t="str">
        <f>TEXT(Sales_Clean_Data[[#This Row],[Order_Date]],"mmm")</f>
        <v>Jun</v>
      </c>
    </row>
    <row r="57" spans="1:11" x14ac:dyDescent="0.25">
      <c r="A57" t="s">
        <v>137</v>
      </c>
      <c r="B57" s="1" t="s">
        <v>138</v>
      </c>
      <c r="C57" t="s">
        <v>12</v>
      </c>
      <c r="D57" t="s">
        <v>37</v>
      </c>
      <c r="E57" t="s">
        <v>58</v>
      </c>
      <c r="F57" t="s">
        <v>15</v>
      </c>
      <c r="G57" s="2">
        <v>4</v>
      </c>
      <c r="H57" s="3">
        <v>968</v>
      </c>
      <c r="I57" s="3">
        <v>704</v>
      </c>
      <c r="J57" s="3">
        <v>264</v>
      </c>
      <c r="K57" s="3" t="str">
        <f>TEXT(Sales_Clean_Data[[#This Row],[Order_Date]],"mmm")</f>
        <v>Dec</v>
      </c>
    </row>
    <row r="58" spans="1:11" x14ac:dyDescent="0.25">
      <c r="A58" t="s">
        <v>139</v>
      </c>
      <c r="B58" s="1" t="s">
        <v>140</v>
      </c>
      <c r="C58" t="s">
        <v>12</v>
      </c>
      <c r="D58" t="s">
        <v>19</v>
      </c>
      <c r="E58" t="s">
        <v>58</v>
      </c>
      <c r="F58" t="s">
        <v>15</v>
      </c>
      <c r="G58" s="2">
        <v>4</v>
      </c>
      <c r="H58" s="3">
        <v>4424</v>
      </c>
      <c r="I58" s="3">
        <v>3383</v>
      </c>
      <c r="J58" s="3">
        <v>1041</v>
      </c>
      <c r="K58" s="3" t="str">
        <f>TEXT(Sales_Clean_Data[[#This Row],[Order_Date]],"mmm")</f>
        <v>May</v>
      </c>
    </row>
    <row r="59" spans="1:11" x14ac:dyDescent="0.25">
      <c r="A59" t="s">
        <v>141</v>
      </c>
      <c r="B59" s="1" t="s">
        <v>142</v>
      </c>
      <c r="C59" t="s">
        <v>12</v>
      </c>
      <c r="D59" t="s">
        <v>37</v>
      </c>
      <c r="E59" t="s">
        <v>38</v>
      </c>
      <c r="F59" t="s">
        <v>21</v>
      </c>
      <c r="G59" s="2">
        <v>1</v>
      </c>
      <c r="H59" s="3">
        <v>1185</v>
      </c>
      <c r="I59" s="3">
        <v>884</v>
      </c>
      <c r="J59" s="3">
        <v>301</v>
      </c>
      <c r="K59" s="3" t="str">
        <f>TEXT(Sales_Clean_Data[[#This Row],[Order_Date]],"mmm")</f>
        <v>Dec</v>
      </c>
    </row>
    <row r="60" spans="1:11" x14ac:dyDescent="0.25">
      <c r="A60" t="s">
        <v>143</v>
      </c>
      <c r="B60" s="1" t="s">
        <v>144</v>
      </c>
      <c r="C60" t="s">
        <v>18</v>
      </c>
      <c r="D60" t="s">
        <v>32</v>
      </c>
      <c r="E60" t="s">
        <v>71</v>
      </c>
      <c r="F60" t="s">
        <v>21</v>
      </c>
      <c r="G60" s="2">
        <v>1</v>
      </c>
      <c r="H60" s="3">
        <v>1055</v>
      </c>
      <c r="I60" s="3">
        <v>647</v>
      </c>
      <c r="J60" s="3">
        <v>408</v>
      </c>
      <c r="K60" s="3" t="str">
        <f>TEXT(Sales_Clean_Data[[#This Row],[Order_Date]],"mmm")</f>
        <v>Apr</v>
      </c>
    </row>
    <row r="61" spans="1:11" x14ac:dyDescent="0.25">
      <c r="A61" t="s">
        <v>145</v>
      </c>
      <c r="B61" s="1" t="s">
        <v>146</v>
      </c>
      <c r="C61" t="s">
        <v>24</v>
      </c>
      <c r="D61" t="s">
        <v>32</v>
      </c>
      <c r="E61" t="s">
        <v>38</v>
      </c>
      <c r="F61" t="s">
        <v>21</v>
      </c>
      <c r="G61" s="2">
        <v>2</v>
      </c>
      <c r="H61" s="3">
        <v>1268</v>
      </c>
      <c r="I61" s="3">
        <v>906</v>
      </c>
      <c r="J61" s="3">
        <v>362</v>
      </c>
      <c r="K61" s="3" t="str">
        <f>TEXT(Sales_Clean_Data[[#This Row],[Order_Date]],"mmm")</f>
        <v>Aug</v>
      </c>
    </row>
    <row r="62" spans="1:11" x14ac:dyDescent="0.25">
      <c r="A62" t="s">
        <v>147</v>
      </c>
      <c r="B62" s="1" t="s">
        <v>148</v>
      </c>
      <c r="C62" t="s">
        <v>18</v>
      </c>
      <c r="D62" t="s">
        <v>37</v>
      </c>
      <c r="E62" t="s">
        <v>58</v>
      </c>
      <c r="F62" t="s">
        <v>15</v>
      </c>
      <c r="G62" s="2">
        <v>5</v>
      </c>
      <c r="H62" s="3">
        <v>5020</v>
      </c>
      <c r="I62" s="3">
        <v>3836</v>
      </c>
      <c r="J62" s="3">
        <v>1184</v>
      </c>
      <c r="K62" s="3" t="str">
        <f>TEXT(Sales_Clean_Data[[#This Row],[Order_Date]],"mmm")</f>
        <v>Mar</v>
      </c>
    </row>
    <row r="63" spans="1:11" x14ac:dyDescent="0.25">
      <c r="A63" t="s">
        <v>149</v>
      </c>
      <c r="B63" s="1" t="s">
        <v>150</v>
      </c>
      <c r="C63" t="s">
        <v>27</v>
      </c>
      <c r="D63" t="s">
        <v>32</v>
      </c>
      <c r="E63" t="s">
        <v>14</v>
      </c>
      <c r="F63" t="s">
        <v>15</v>
      </c>
      <c r="G63" s="2">
        <v>1</v>
      </c>
      <c r="H63" s="3">
        <v>949</v>
      </c>
      <c r="I63" s="3">
        <v>712</v>
      </c>
      <c r="J63" s="3">
        <v>237</v>
      </c>
      <c r="K63" s="3" t="str">
        <f>TEXT(Sales_Clean_Data[[#This Row],[Order_Date]],"mmm")</f>
        <v>Nov</v>
      </c>
    </row>
    <row r="64" spans="1:11" x14ac:dyDescent="0.25">
      <c r="A64" t="s">
        <v>151</v>
      </c>
      <c r="B64" s="1" t="s">
        <v>152</v>
      </c>
      <c r="C64" t="s">
        <v>24</v>
      </c>
      <c r="D64" t="s">
        <v>37</v>
      </c>
      <c r="E64" t="s">
        <v>29</v>
      </c>
      <c r="F64" t="s">
        <v>15</v>
      </c>
      <c r="G64" s="2">
        <v>3</v>
      </c>
      <c r="H64" s="3">
        <v>3090</v>
      </c>
      <c r="I64" s="3">
        <v>2068</v>
      </c>
      <c r="J64" s="3">
        <v>1022</v>
      </c>
      <c r="K64" s="3" t="str">
        <f>TEXT(Sales_Clean_Data[[#This Row],[Order_Date]],"mmm")</f>
        <v>Jan</v>
      </c>
    </row>
    <row r="65" spans="1:11" x14ac:dyDescent="0.25">
      <c r="A65" t="s">
        <v>153</v>
      </c>
      <c r="B65" s="1" t="s">
        <v>154</v>
      </c>
      <c r="C65" t="s">
        <v>12</v>
      </c>
      <c r="D65" t="s">
        <v>47</v>
      </c>
      <c r="E65" t="s">
        <v>14</v>
      </c>
      <c r="F65" t="s">
        <v>15</v>
      </c>
      <c r="G65" s="2">
        <v>3</v>
      </c>
      <c r="H65" s="3">
        <v>552</v>
      </c>
      <c r="I65" s="3">
        <v>342</v>
      </c>
      <c r="J65" s="3">
        <v>210</v>
      </c>
      <c r="K65" s="3" t="str">
        <f>TEXT(Sales_Clean_Data[[#This Row],[Order_Date]],"mmm")</f>
        <v>Jun</v>
      </c>
    </row>
    <row r="66" spans="1:11" x14ac:dyDescent="0.25">
      <c r="A66" t="s">
        <v>155</v>
      </c>
      <c r="B66" s="1" t="s">
        <v>156</v>
      </c>
      <c r="C66" t="s">
        <v>27</v>
      </c>
      <c r="D66" t="s">
        <v>28</v>
      </c>
      <c r="E66" t="s">
        <v>20</v>
      </c>
      <c r="F66" t="s">
        <v>21</v>
      </c>
      <c r="G66" s="2">
        <v>2</v>
      </c>
      <c r="H66" s="3">
        <v>2176</v>
      </c>
      <c r="I66" s="3">
        <v>1567</v>
      </c>
      <c r="J66" s="3">
        <v>609</v>
      </c>
      <c r="K66" s="3" t="str">
        <f>TEXT(Sales_Clean_Data[[#This Row],[Order_Date]],"mmm")</f>
        <v>Mar</v>
      </c>
    </row>
    <row r="67" spans="1:11" x14ac:dyDescent="0.25">
      <c r="A67" t="s">
        <v>157</v>
      </c>
      <c r="B67" s="1" t="s">
        <v>93</v>
      </c>
      <c r="C67" t="s">
        <v>12</v>
      </c>
      <c r="D67" t="s">
        <v>19</v>
      </c>
      <c r="E67" t="s">
        <v>71</v>
      </c>
      <c r="F67" t="s">
        <v>21</v>
      </c>
      <c r="G67" s="2">
        <v>3</v>
      </c>
      <c r="H67" s="3">
        <v>3099</v>
      </c>
      <c r="I67" s="3">
        <v>1985</v>
      </c>
      <c r="J67" s="3">
        <v>1114</v>
      </c>
      <c r="K67" s="3" t="str">
        <f>TEXT(Sales_Clean_Data[[#This Row],[Order_Date]],"mmm")</f>
        <v>Jun</v>
      </c>
    </row>
    <row r="68" spans="1:11" x14ac:dyDescent="0.25">
      <c r="A68" t="s">
        <v>158</v>
      </c>
      <c r="B68" s="1" t="s">
        <v>159</v>
      </c>
      <c r="C68" t="s">
        <v>24</v>
      </c>
      <c r="D68" t="s">
        <v>19</v>
      </c>
      <c r="E68" t="s">
        <v>29</v>
      </c>
      <c r="F68" t="s">
        <v>15</v>
      </c>
      <c r="G68" s="2">
        <v>3</v>
      </c>
      <c r="H68" s="3">
        <v>2169</v>
      </c>
      <c r="I68" s="3">
        <v>1491</v>
      </c>
      <c r="J68" s="3">
        <v>678</v>
      </c>
      <c r="K68" s="3" t="str">
        <f>TEXT(Sales_Clean_Data[[#This Row],[Order_Date]],"mmm")</f>
        <v>Nov</v>
      </c>
    </row>
    <row r="69" spans="1:11" x14ac:dyDescent="0.25">
      <c r="A69" t="s">
        <v>160</v>
      </c>
      <c r="B69" s="1" t="s">
        <v>161</v>
      </c>
      <c r="C69" t="s">
        <v>27</v>
      </c>
      <c r="D69" t="s">
        <v>19</v>
      </c>
      <c r="E69" t="s">
        <v>14</v>
      </c>
      <c r="F69" t="s">
        <v>15</v>
      </c>
      <c r="G69" s="2">
        <v>4</v>
      </c>
      <c r="H69" s="3">
        <v>3104</v>
      </c>
      <c r="I69" s="3">
        <v>1900</v>
      </c>
      <c r="J69" s="3">
        <v>1204</v>
      </c>
      <c r="K69" s="3" t="str">
        <f>TEXT(Sales_Clean_Data[[#This Row],[Order_Date]],"mmm")</f>
        <v>Jul</v>
      </c>
    </row>
    <row r="70" spans="1:11" x14ac:dyDescent="0.25">
      <c r="A70" t="s">
        <v>162</v>
      </c>
      <c r="B70" s="1" t="s">
        <v>163</v>
      </c>
      <c r="C70" t="s">
        <v>24</v>
      </c>
      <c r="D70" t="s">
        <v>13</v>
      </c>
      <c r="E70" t="s">
        <v>38</v>
      </c>
      <c r="F70" t="s">
        <v>21</v>
      </c>
      <c r="G70" s="2">
        <v>3</v>
      </c>
      <c r="H70" s="3">
        <v>936</v>
      </c>
      <c r="I70" s="3">
        <v>748</v>
      </c>
      <c r="J70" s="3">
        <v>188</v>
      </c>
      <c r="K70" s="3" t="str">
        <f>TEXT(Sales_Clean_Data[[#This Row],[Order_Date]],"mmm")</f>
        <v>Feb</v>
      </c>
    </row>
    <row r="71" spans="1:11" x14ac:dyDescent="0.25">
      <c r="A71" t="s">
        <v>164</v>
      </c>
      <c r="B71" s="1" t="s">
        <v>165</v>
      </c>
      <c r="C71" t="s">
        <v>27</v>
      </c>
      <c r="D71" t="s">
        <v>13</v>
      </c>
      <c r="E71" t="s">
        <v>71</v>
      </c>
      <c r="F71" t="s">
        <v>21</v>
      </c>
      <c r="G71" s="2">
        <v>1</v>
      </c>
      <c r="H71" s="3">
        <v>1062</v>
      </c>
      <c r="I71" s="3">
        <v>661</v>
      </c>
      <c r="J71" s="3">
        <v>401</v>
      </c>
      <c r="K71" s="3" t="str">
        <f>TEXT(Sales_Clean_Data[[#This Row],[Order_Date]],"mmm")</f>
        <v>Dec</v>
      </c>
    </row>
    <row r="72" spans="1:11" x14ac:dyDescent="0.25">
      <c r="A72" t="s">
        <v>166</v>
      </c>
      <c r="B72" s="1" t="s">
        <v>167</v>
      </c>
      <c r="C72" t="s">
        <v>27</v>
      </c>
      <c r="D72" t="s">
        <v>32</v>
      </c>
      <c r="E72" t="s">
        <v>29</v>
      </c>
      <c r="F72" t="s">
        <v>15</v>
      </c>
      <c r="G72" s="2">
        <v>4</v>
      </c>
      <c r="H72" s="3">
        <v>2412</v>
      </c>
      <c r="I72" s="3">
        <v>1542</v>
      </c>
      <c r="J72" s="3">
        <v>870</v>
      </c>
      <c r="K72" s="3" t="str">
        <f>TEXT(Sales_Clean_Data[[#This Row],[Order_Date]],"mmm")</f>
        <v>May</v>
      </c>
    </row>
    <row r="73" spans="1:11" x14ac:dyDescent="0.25">
      <c r="A73" t="s">
        <v>168</v>
      </c>
      <c r="B73" s="1" t="s">
        <v>169</v>
      </c>
      <c r="C73" t="s">
        <v>24</v>
      </c>
      <c r="D73" t="s">
        <v>28</v>
      </c>
      <c r="E73" t="s">
        <v>29</v>
      </c>
      <c r="F73" t="s">
        <v>15</v>
      </c>
      <c r="G73" s="2">
        <v>5</v>
      </c>
      <c r="H73" s="3">
        <v>4130</v>
      </c>
      <c r="I73" s="3">
        <v>2719</v>
      </c>
      <c r="J73" s="3">
        <v>1411</v>
      </c>
      <c r="K73" s="3" t="str">
        <f>TEXT(Sales_Clean_Data[[#This Row],[Order_Date]],"mmm")</f>
        <v>Jan</v>
      </c>
    </row>
    <row r="74" spans="1:11" x14ac:dyDescent="0.25">
      <c r="A74" t="s">
        <v>170</v>
      </c>
      <c r="B74" s="1" t="s">
        <v>68</v>
      </c>
      <c r="C74" t="s">
        <v>12</v>
      </c>
      <c r="D74" t="s">
        <v>28</v>
      </c>
      <c r="E74" t="s">
        <v>29</v>
      </c>
      <c r="F74" t="s">
        <v>15</v>
      </c>
      <c r="G74" s="2">
        <v>3</v>
      </c>
      <c r="H74" s="3">
        <v>2931</v>
      </c>
      <c r="I74" s="3">
        <v>2045</v>
      </c>
      <c r="J74" s="3">
        <v>886</v>
      </c>
      <c r="K74" s="3" t="str">
        <f>TEXT(Sales_Clean_Data[[#This Row],[Order_Date]],"mmm")</f>
        <v>Jun</v>
      </c>
    </row>
    <row r="75" spans="1:11" x14ac:dyDescent="0.25">
      <c r="A75" t="s">
        <v>171</v>
      </c>
      <c r="B75" s="1" t="s">
        <v>172</v>
      </c>
      <c r="C75" t="s">
        <v>27</v>
      </c>
      <c r="D75" t="s">
        <v>28</v>
      </c>
      <c r="E75" t="s">
        <v>29</v>
      </c>
      <c r="F75" t="s">
        <v>15</v>
      </c>
      <c r="G75" s="2">
        <v>1</v>
      </c>
      <c r="H75" s="3">
        <v>837</v>
      </c>
      <c r="I75" s="3">
        <v>563</v>
      </c>
      <c r="J75" s="3">
        <v>274</v>
      </c>
      <c r="K75" s="3" t="str">
        <f>TEXT(Sales_Clean_Data[[#This Row],[Order_Date]],"mmm")</f>
        <v>Oct</v>
      </c>
    </row>
    <row r="76" spans="1:11" x14ac:dyDescent="0.25">
      <c r="A76" t="s">
        <v>173</v>
      </c>
      <c r="B76" s="1" t="s">
        <v>174</v>
      </c>
      <c r="C76" t="s">
        <v>18</v>
      </c>
      <c r="D76" t="s">
        <v>32</v>
      </c>
      <c r="E76" t="s">
        <v>14</v>
      </c>
      <c r="F76" t="s">
        <v>15</v>
      </c>
      <c r="G76" s="2">
        <v>2</v>
      </c>
      <c r="H76" s="3">
        <v>1522</v>
      </c>
      <c r="I76" s="3">
        <v>976</v>
      </c>
      <c r="J76" s="3">
        <v>546</v>
      </c>
      <c r="K76" s="3" t="str">
        <f>TEXT(Sales_Clean_Data[[#This Row],[Order_Date]],"mmm")</f>
        <v>Feb</v>
      </c>
    </row>
    <row r="77" spans="1:11" x14ac:dyDescent="0.25">
      <c r="A77" t="s">
        <v>175</v>
      </c>
      <c r="B77" s="1" t="s">
        <v>176</v>
      </c>
      <c r="C77" t="s">
        <v>18</v>
      </c>
      <c r="D77" t="s">
        <v>47</v>
      </c>
      <c r="E77" t="s">
        <v>14</v>
      </c>
      <c r="F77" t="s">
        <v>15</v>
      </c>
      <c r="G77" s="2">
        <v>1</v>
      </c>
      <c r="H77" s="3">
        <v>1090</v>
      </c>
      <c r="I77" s="3">
        <v>766</v>
      </c>
      <c r="J77" s="3">
        <v>324</v>
      </c>
      <c r="K77" s="3" t="str">
        <f>TEXT(Sales_Clean_Data[[#This Row],[Order_Date]],"mmm")</f>
        <v>Apr</v>
      </c>
    </row>
    <row r="78" spans="1:11" x14ac:dyDescent="0.25">
      <c r="A78" t="s">
        <v>177</v>
      </c>
      <c r="B78" s="1" t="s">
        <v>178</v>
      </c>
      <c r="C78" t="s">
        <v>18</v>
      </c>
      <c r="D78" t="s">
        <v>28</v>
      </c>
      <c r="E78" t="s">
        <v>38</v>
      </c>
      <c r="F78" t="s">
        <v>21</v>
      </c>
      <c r="G78" s="2">
        <v>1</v>
      </c>
      <c r="H78" s="3">
        <v>596</v>
      </c>
      <c r="I78" s="3">
        <v>358</v>
      </c>
      <c r="J78" s="3">
        <v>238</v>
      </c>
      <c r="K78" s="3" t="str">
        <f>TEXT(Sales_Clean_Data[[#This Row],[Order_Date]],"mmm")</f>
        <v>May</v>
      </c>
    </row>
    <row r="79" spans="1:11" x14ac:dyDescent="0.25">
      <c r="A79" t="s">
        <v>179</v>
      </c>
      <c r="B79" s="1" t="s">
        <v>180</v>
      </c>
      <c r="C79" t="s">
        <v>24</v>
      </c>
      <c r="D79" t="s">
        <v>47</v>
      </c>
      <c r="E79" t="s">
        <v>38</v>
      </c>
      <c r="F79" t="s">
        <v>21</v>
      </c>
      <c r="G79" s="2">
        <v>1</v>
      </c>
      <c r="H79" s="3">
        <v>152</v>
      </c>
      <c r="I79" s="3">
        <v>115</v>
      </c>
      <c r="J79" s="3">
        <v>37</v>
      </c>
      <c r="K79" s="3" t="str">
        <f>TEXT(Sales_Clean_Data[[#This Row],[Order_Date]],"mmm")</f>
        <v>Oct</v>
      </c>
    </row>
    <row r="80" spans="1:11" x14ac:dyDescent="0.25">
      <c r="A80" t="s">
        <v>181</v>
      </c>
      <c r="B80" s="1" t="s">
        <v>182</v>
      </c>
      <c r="C80" t="s">
        <v>18</v>
      </c>
      <c r="D80" t="s">
        <v>32</v>
      </c>
      <c r="E80" t="s">
        <v>29</v>
      </c>
      <c r="F80" t="s">
        <v>15</v>
      </c>
      <c r="G80" s="2">
        <v>5</v>
      </c>
      <c r="H80" s="3">
        <v>3335</v>
      </c>
      <c r="I80" s="3">
        <v>2204</v>
      </c>
      <c r="J80" s="3">
        <v>1131</v>
      </c>
      <c r="K80" s="3" t="str">
        <f>TEXT(Sales_Clean_Data[[#This Row],[Order_Date]],"mmm")</f>
        <v>Dec</v>
      </c>
    </row>
    <row r="81" spans="1:11" x14ac:dyDescent="0.25">
      <c r="A81" t="s">
        <v>183</v>
      </c>
      <c r="B81" s="1" t="s">
        <v>184</v>
      </c>
      <c r="C81" t="s">
        <v>18</v>
      </c>
      <c r="D81" t="s">
        <v>19</v>
      </c>
      <c r="E81" t="s">
        <v>20</v>
      </c>
      <c r="F81" t="s">
        <v>21</v>
      </c>
      <c r="G81" s="2">
        <v>2</v>
      </c>
      <c r="H81" s="3">
        <v>888</v>
      </c>
      <c r="I81" s="3">
        <v>577</v>
      </c>
      <c r="J81" s="3">
        <v>311</v>
      </c>
      <c r="K81" s="3" t="str">
        <f>TEXT(Sales_Clean_Data[[#This Row],[Order_Date]],"mmm")</f>
        <v>Nov</v>
      </c>
    </row>
    <row r="82" spans="1:11" x14ac:dyDescent="0.25">
      <c r="A82" t="s">
        <v>185</v>
      </c>
      <c r="B82" s="1" t="s">
        <v>186</v>
      </c>
      <c r="C82" t="s">
        <v>27</v>
      </c>
      <c r="D82" t="s">
        <v>37</v>
      </c>
      <c r="E82" t="s">
        <v>38</v>
      </c>
      <c r="F82" t="s">
        <v>21</v>
      </c>
      <c r="G82" s="2">
        <v>3</v>
      </c>
      <c r="H82" s="3">
        <v>2151</v>
      </c>
      <c r="I82" s="3">
        <v>1436</v>
      </c>
      <c r="J82" s="3">
        <v>715</v>
      </c>
      <c r="K82" s="3" t="str">
        <f>TEXT(Sales_Clean_Data[[#This Row],[Order_Date]],"mmm")</f>
        <v>Aug</v>
      </c>
    </row>
    <row r="83" spans="1:11" x14ac:dyDescent="0.25">
      <c r="A83" t="s">
        <v>187</v>
      </c>
      <c r="B83" s="1" t="s">
        <v>188</v>
      </c>
      <c r="C83" t="s">
        <v>24</v>
      </c>
      <c r="D83" t="s">
        <v>47</v>
      </c>
      <c r="E83" t="s">
        <v>14</v>
      </c>
      <c r="F83" t="s">
        <v>15</v>
      </c>
      <c r="G83" s="2">
        <v>1</v>
      </c>
      <c r="H83" s="3">
        <v>558</v>
      </c>
      <c r="I83" s="3">
        <v>348</v>
      </c>
      <c r="J83" s="3">
        <v>210</v>
      </c>
      <c r="K83" s="3" t="str">
        <f>TEXT(Sales_Clean_Data[[#This Row],[Order_Date]],"mmm")</f>
        <v>Sep</v>
      </c>
    </row>
    <row r="84" spans="1:11" x14ac:dyDescent="0.25">
      <c r="A84" t="s">
        <v>189</v>
      </c>
      <c r="B84" s="1" t="s">
        <v>190</v>
      </c>
      <c r="C84" t="s">
        <v>27</v>
      </c>
      <c r="D84" t="s">
        <v>19</v>
      </c>
      <c r="E84" t="s">
        <v>29</v>
      </c>
      <c r="F84" t="s">
        <v>15</v>
      </c>
      <c r="G84" s="2">
        <v>5</v>
      </c>
      <c r="H84" s="3">
        <v>4315</v>
      </c>
      <c r="I84" s="3">
        <v>3042</v>
      </c>
      <c r="J84" s="3">
        <v>1273</v>
      </c>
      <c r="K84" s="3" t="str">
        <f>TEXT(Sales_Clean_Data[[#This Row],[Order_Date]],"mmm")</f>
        <v>Apr</v>
      </c>
    </row>
    <row r="85" spans="1:11" x14ac:dyDescent="0.25">
      <c r="A85" t="s">
        <v>191</v>
      </c>
      <c r="B85" s="1" t="s">
        <v>136</v>
      </c>
      <c r="C85" t="s">
        <v>27</v>
      </c>
      <c r="D85" t="s">
        <v>13</v>
      </c>
      <c r="E85" t="s">
        <v>14</v>
      </c>
      <c r="F85" t="s">
        <v>15</v>
      </c>
      <c r="G85" s="2">
        <v>2</v>
      </c>
      <c r="H85" s="3">
        <v>798</v>
      </c>
      <c r="I85" s="3">
        <v>479</v>
      </c>
      <c r="J85" s="3">
        <v>319</v>
      </c>
      <c r="K85" s="3" t="str">
        <f>TEXT(Sales_Clean_Data[[#This Row],[Order_Date]],"mmm")</f>
        <v>Jun</v>
      </c>
    </row>
    <row r="86" spans="1:11" x14ac:dyDescent="0.25">
      <c r="A86" t="s">
        <v>192</v>
      </c>
      <c r="B86" s="1" t="s">
        <v>193</v>
      </c>
      <c r="C86" t="s">
        <v>12</v>
      </c>
      <c r="D86" t="s">
        <v>47</v>
      </c>
      <c r="E86" t="s">
        <v>29</v>
      </c>
      <c r="F86" t="s">
        <v>15</v>
      </c>
      <c r="G86" s="2">
        <v>3</v>
      </c>
      <c r="H86" s="3">
        <v>3057</v>
      </c>
      <c r="I86" s="3">
        <v>1965</v>
      </c>
      <c r="J86" s="3">
        <v>1092</v>
      </c>
      <c r="K86" s="3" t="str">
        <f>TEXT(Sales_Clean_Data[[#This Row],[Order_Date]],"mmm")</f>
        <v>Jan</v>
      </c>
    </row>
    <row r="87" spans="1:11" x14ac:dyDescent="0.25">
      <c r="A87" t="s">
        <v>194</v>
      </c>
      <c r="B87" s="1" t="s">
        <v>195</v>
      </c>
      <c r="C87" t="s">
        <v>12</v>
      </c>
      <c r="D87" t="s">
        <v>32</v>
      </c>
      <c r="E87" t="s">
        <v>20</v>
      </c>
      <c r="F87" t="s">
        <v>21</v>
      </c>
      <c r="G87" s="2">
        <v>1</v>
      </c>
      <c r="H87" s="3">
        <v>1157</v>
      </c>
      <c r="I87" s="3">
        <v>904</v>
      </c>
      <c r="J87" s="3">
        <v>253</v>
      </c>
      <c r="K87" s="3" t="str">
        <f>TEXT(Sales_Clean_Data[[#This Row],[Order_Date]],"mmm")</f>
        <v>May</v>
      </c>
    </row>
    <row r="88" spans="1:11" x14ac:dyDescent="0.25">
      <c r="A88" t="s">
        <v>196</v>
      </c>
      <c r="B88" s="1" t="s">
        <v>197</v>
      </c>
      <c r="C88" t="s">
        <v>12</v>
      </c>
      <c r="D88" t="s">
        <v>37</v>
      </c>
      <c r="E88" t="s">
        <v>38</v>
      </c>
      <c r="F88" t="s">
        <v>21</v>
      </c>
      <c r="G88" s="2">
        <v>3</v>
      </c>
      <c r="H88" s="3">
        <v>3564</v>
      </c>
      <c r="I88" s="3">
        <v>2335</v>
      </c>
      <c r="J88" s="3">
        <v>1229</v>
      </c>
      <c r="K88" s="3" t="str">
        <f>TEXT(Sales_Clean_Data[[#This Row],[Order_Date]],"mmm")</f>
        <v>Dec</v>
      </c>
    </row>
    <row r="89" spans="1:11" x14ac:dyDescent="0.25">
      <c r="A89" t="s">
        <v>198</v>
      </c>
      <c r="B89" s="1" t="s">
        <v>199</v>
      </c>
      <c r="C89" t="s">
        <v>12</v>
      </c>
      <c r="D89" t="s">
        <v>19</v>
      </c>
      <c r="E89" t="s">
        <v>38</v>
      </c>
      <c r="F89" t="s">
        <v>21</v>
      </c>
      <c r="G89" s="2">
        <v>4</v>
      </c>
      <c r="H89" s="3">
        <v>2896</v>
      </c>
      <c r="I89" s="3">
        <v>2167</v>
      </c>
      <c r="J89" s="3">
        <v>729</v>
      </c>
      <c r="K89" s="3" t="str">
        <f>TEXT(Sales_Clean_Data[[#This Row],[Order_Date]],"mmm")</f>
        <v>Jan</v>
      </c>
    </row>
    <row r="90" spans="1:11" x14ac:dyDescent="0.25">
      <c r="A90" t="s">
        <v>200</v>
      </c>
      <c r="B90" s="1" t="s">
        <v>201</v>
      </c>
      <c r="C90" t="s">
        <v>18</v>
      </c>
      <c r="D90" t="s">
        <v>19</v>
      </c>
      <c r="E90" t="s">
        <v>20</v>
      </c>
      <c r="F90" t="s">
        <v>21</v>
      </c>
      <c r="G90" s="2">
        <v>5</v>
      </c>
      <c r="H90" s="3">
        <v>3100</v>
      </c>
      <c r="I90" s="3">
        <v>1913</v>
      </c>
      <c r="J90" s="3">
        <v>1187</v>
      </c>
      <c r="K90" s="3" t="str">
        <f>TEXT(Sales_Clean_Data[[#This Row],[Order_Date]],"mmm")</f>
        <v>Feb</v>
      </c>
    </row>
    <row r="91" spans="1:11" x14ac:dyDescent="0.25">
      <c r="A91" t="s">
        <v>202</v>
      </c>
      <c r="B91" s="1" t="s">
        <v>203</v>
      </c>
      <c r="C91" t="s">
        <v>24</v>
      </c>
      <c r="D91" t="s">
        <v>13</v>
      </c>
      <c r="E91" t="s">
        <v>29</v>
      </c>
      <c r="F91" t="s">
        <v>15</v>
      </c>
      <c r="G91" s="2">
        <v>1</v>
      </c>
      <c r="H91" s="3">
        <v>408</v>
      </c>
      <c r="I91" s="3">
        <v>269</v>
      </c>
      <c r="J91" s="3">
        <v>139</v>
      </c>
      <c r="K91" s="3" t="str">
        <f>TEXT(Sales_Clean_Data[[#This Row],[Order_Date]],"mmm")</f>
        <v>Mar</v>
      </c>
    </row>
    <row r="92" spans="1:11" x14ac:dyDescent="0.25">
      <c r="A92" t="s">
        <v>204</v>
      </c>
      <c r="B92" s="1" t="s">
        <v>205</v>
      </c>
      <c r="C92" t="s">
        <v>27</v>
      </c>
      <c r="D92" t="s">
        <v>37</v>
      </c>
      <c r="E92" t="s">
        <v>20</v>
      </c>
      <c r="F92" t="s">
        <v>21</v>
      </c>
      <c r="G92" s="2">
        <v>5</v>
      </c>
      <c r="H92" s="3">
        <v>1200</v>
      </c>
      <c r="I92" s="3">
        <v>823</v>
      </c>
      <c r="J92" s="3">
        <v>377</v>
      </c>
      <c r="K92" s="3" t="str">
        <f>TEXT(Sales_Clean_Data[[#This Row],[Order_Date]],"mmm")</f>
        <v>Oct</v>
      </c>
    </row>
    <row r="93" spans="1:11" x14ac:dyDescent="0.25">
      <c r="A93" t="s">
        <v>206</v>
      </c>
      <c r="B93" s="1" t="s">
        <v>207</v>
      </c>
      <c r="C93" t="s">
        <v>27</v>
      </c>
      <c r="D93" t="s">
        <v>47</v>
      </c>
      <c r="E93" t="s">
        <v>29</v>
      </c>
      <c r="F93" t="s">
        <v>15</v>
      </c>
      <c r="G93" s="2">
        <v>5</v>
      </c>
      <c r="H93" s="3">
        <v>1025</v>
      </c>
      <c r="I93" s="3">
        <v>745</v>
      </c>
      <c r="J93" s="3">
        <v>280</v>
      </c>
      <c r="K93" s="3" t="str">
        <f>TEXT(Sales_Clean_Data[[#This Row],[Order_Date]],"mmm")</f>
        <v>May</v>
      </c>
    </row>
    <row r="94" spans="1:11" x14ac:dyDescent="0.25">
      <c r="A94" t="s">
        <v>208</v>
      </c>
      <c r="B94" s="1" t="s">
        <v>209</v>
      </c>
      <c r="C94" t="s">
        <v>18</v>
      </c>
      <c r="D94" t="s">
        <v>13</v>
      </c>
      <c r="E94" t="s">
        <v>71</v>
      </c>
      <c r="F94" t="s">
        <v>21</v>
      </c>
      <c r="G94" s="2">
        <v>2</v>
      </c>
      <c r="H94" s="3">
        <v>466</v>
      </c>
      <c r="I94" s="3">
        <v>296</v>
      </c>
      <c r="J94" s="3">
        <v>170</v>
      </c>
      <c r="K94" s="3" t="str">
        <f>TEXT(Sales_Clean_Data[[#This Row],[Order_Date]],"mmm")</f>
        <v>Jun</v>
      </c>
    </row>
    <row r="95" spans="1:11" x14ac:dyDescent="0.25">
      <c r="A95" t="s">
        <v>210</v>
      </c>
      <c r="B95" s="1" t="s">
        <v>211</v>
      </c>
      <c r="C95" t="s">
        <v>27</v>
      </c>
      <c r="D95" t="s">
        <v>37</v>
      </c>
      <c r="E95" t="s">
        <v>71</v>
      </c>
      <c r="F95" t="s">
        <v>21</v>
      </c>
      <c r="G95" s="2">
        <v>2</v>
      </c>
      <c r="H95" s="3">
        <v>1380</v>
      </c>
      <c r="I95" s="3">
        <v>907</v>
      </c>
      <c r="J95" s="3">
        <v>473</v>
      </c>
      <c r="K95" s="3" t="str">
        <f>TEXT(Sales_Clean_Data[[#This Row],[Order_Date]],"mmm")</f>
        <v>Jun</v>
      </c>
    </row>
    <row r="96" spans="1:11" x14ac:dyDescent="0.25">
      <c r="A96" t="s">
        <v>212</v>
      </c>
      <c r="B96" s="1" t="s">
        <v>213</v>
      </c>
      <c r="C96" t="s">
        <v>27</v>
      </c>
      <c r="D96" t="s">
        <v>13</v>
      </c>
      <c r="E96" t="s">
        <v>38</v>
      </c>
      <c r="F96" t="s">
        <v>21</v>
      </c>
      <c r="G96" s="2">
        <v>4</v>
      </c>
      <c r="H96" s="3">
        <v>2552</v>
      </c>
      <c r="I96" s="3">
        <v>1969</v>
      </c>
      <c r="J96" s="3">
        <v>583</v>
      </c>
      <c r="K96" s="3" t="str">
        <f>TEXT(Sales_Clean_Data[[#This Row],[Order_Date]],"mmm")</f>
        <v>Apr</v>
      </c>
    </row>
    <row r="97" spans="1:11" x14ac:dyDescent="0.25">
      <c r="A97" t="s">
        <v>214</v>
      </c>
      <c r="B97" s="1" t="s">
        <v>215</v>
      </c>
      <c r="C97" t="s">
        <v>24</v>
      </c>
      <c r="D97" t="s">
        <v>19</v>
      </c>
      <c r="E97" t="s">
        <v>14</v>
      </c>
      <c r="F97" t="s">
        <v>15</v>
      </c>
      <c r="G97" s="2">
        <v>2</v>
      </c>
      <c r="H97" s="3">
        <v>1204</v>
      </c>
      <c r="I97" s="3">
        <v>808</v>
      </c>
      <c r="J97" s="3">
        <v>396</v>
      </c>
      <c r="K97" s="3" t="str">
        <f>TEXT(Sales_Clean_Data[[#This Row],[Order_Date]],"mmm")</f>
        <v>Aug</v>
      </c>
    </row>
    <row r="98" spans="1:11" x14ac:dyDescent="0.25">
      <c r="A98" t="s">
        <v>216</v>
      </c>
      <c r="B98" s="1" t="s">
        <v>217</v>
      </c>
      <c r="C98" t="s">
        <v>12</v>
      </c>
      <c r="D98" t="s">
        <v>13</v>
      </c>
      <c r="E98" t="s">
        <v>14</v>
      </c>
      <c r="F98" t="s">
        <v>15</v>
      </c>
      <c r="G98" s="2">
        <v>1</v>
      </c>
      <c r="H98" s="3">
        <v>739</v>
      </c>
      <c r="I98" s="3">
        <v>450</v>
      </c>
      <c r="J98" s="3">
        <v>289</v>
      </c>
      <c r="K98" s="3" t="str">
        <f>TEXT(Sales_Clean_Data[[#This Row],[Order_Date]],"mmm")</f>
        <v>Dec</v>
      </c>
    </row>
    <row r="99" spans="1:11" x14ac:dyDescent="0.25">
      <c r="A99" t="s">
        <v>218</v>
      </c>
      <c r="B99" s="1" t="s">
        <v>219</v>
      </c>
      <c r="C99" t="s">
        <v>12</v>
      </c>
      <c r="D99" t="s">
        <v>28</v>
      </c>
      <c r="E99" t="s">
        <v>20</v>
      </c>
      <c r="F99" t="s">
        <v>21</v>
      </c>
      <c r="G99" s="2">
        <v>2</v>
      </c>
      <c r="H99" s="3">
        <v>424</v>
      </c>
      <c r="I99" s="3">
        <v>258</v>
      </c>
      <c r="J99" s="3">
        <v>166</v>
      </c>
      <c r="K99" s="3" t="str">
        <f>TEXT(Sales_Clean_Data[[#This Row],[Order_Date]],"mmm")</f>
        <v>Jun</v>
      </c>
    </row>
    <row r="100" spans="1:11" x14ac:dyDescent="0.25">
      <c r="A100" t="s">
        <v>220</v>
      </c>
      <c r="B100" s="1" t="s">
        <v>221</v>
      </c>
      <c r="C100" t="s">
        <v>24</v>
      </c>
      <c r="D100" t="s">
        <v>28</v>
      </c>
      <c r="E100" t="s">
        <v>14</v>
      </c>
      <c r="F100" t="s">
        <v>15</v>
      </c>
      <c r="G100" s="2">
        <v>4</v>
      </c>
      <c r="H100" s="3">
        <v>1996</v>
      </c>
      <c r="I100" s="3">
        <v>1398</v>
      </c>
      <c r="J100" s="3">
        <v>598</v>
      </c>
      <c r="K100" s="3" t="str">
        <f>TEXT(Sales_Clean_Data[[#This Row],[Order_Date]],"mmm")</f>
        <v>Apr</v>
      </c>
    </row>
    <row r="101" spans="1:11" x14ac:dyDescent="0.25">
      <c r="A101" t="s">
        <v>222</v>
      </c>
      <c r="B101" s="1" t="s">
        <v>62</v>
      </c>
      <c r="C101" t="s">
        <v>12</v>
      </c>
      <c r="D101" t="s">
        <v>13</v>
      </c>
      <c r="E101" t="s">
        <v>20</v>
      </c>
      <c r="F101" t="s">
        <v>21</v>
      </c>
      <c r="G101" s="2">
        <v>1</v>
      </c>
      <c r="H101" s="3">
        <v>636</v>
      </c>
      <c r="I101" s="3">
        <v>458</v>
      </c>
      <c r="J101" s="3">
        <v>178</v>
      </c>
      <c r="K101" s="3" t="str">
        <f>TEXT(Sales_Clean_Data[[#This Row],[Order_Date]],"mmm")</f>
        <v>Apr</v>
      </c>
    </row>
    <row r="102" spans="1:11" x14ac:dyDescent="0.25">
      <c r="A102" t="s">
        <v>223</v>
      </c>
      <c r="B102" s="1" t="s">
        <v>125</v>
      </c>
      <c r="C102" t="s">
        <v>24</v>
      </c>
      <c r="D102" t="s">
        <v>32</v>
      </c>
      <c r="E102" t="s">
        <v>38</v>
      </c>
      <c r="F102" t="s">
        <v>21</v>
      </c>
      <c r="G102" s="2">
        <v>4</v>
      </c>
      <c r="H102" s="3">
        <v>772</v>
      </c>
      <c r="I102" s="3">
        <v>489</v>
      </c>
      <c r="J102" s="3">
        <v>283</v>
      </c>
      <c r="K102" s="3" t="str">
        <f>TEXT(Sales_Clean_Data[[#This Row],[Order_Date]],"mmm")</f>
        <v>May</v>
      </c>
    </row>
    <row r="103" spans="1:11" x14ac:dyDescent="0.25">
      <c r="A103" t="s">
        <v>224</v>
      </c>
      <c r="B103" s="1" t="s">
        <v>184</v>
      </c>
      <c r="C103" t="s">
        <v>12</v>
      </c>
      <c r="D103" t="s">
        <v>13</v>
      </c>
      <c r="E103" t="s">
        <v>14</v>
      </c>
      <c r="F103" t="s">
        <v>15</v>
      </c>
      <c r="G103" s="2">
        <v>2</v>
      </c>
      <c r="H103" s="3">
        <v>2228</v>
      </c>
      <c r="I103" s="3">
        <v>1658</v>
      </c>
      <c r="J103" s="3">
        <v>570</v>
      </c>
      <c r="K103" s="3" t="str">
        <f>TEXT(Sales_Clean_Data[[#This Row],[Order_Date]],"mmm")</f>
        <v>Nov</v>
      </c>
    </row>
    <row r="104" spans="1:11" x14ac:dyDescent="0.25">
      <c r="A104" t="s">
        <v>225</v>
      </c>
      <c r="B104" s="1" t="s">
        <v>226</v>
      </c>
      <c r="C104" t="s">
        <v>12</v>
      </c>
      <c r="D104" t="s">
        <v>13</v>
      </c>
      <c r="E104" t="s">
        <v>58</v>
      </c>
      <c r="F104" t="s">
        <v>15</v>
      </c>
      <c r="G104" s="2">
        <v>3</v>
      </c>
      <c r="H104" s="3">
        <v>2616</v>
      </c>
      <c r="I104" s="3">
        <v>2005</v>
      </c>
      <c r="J104" s="3">
        <v>611</v>
      </c>
      <c r="K104" s="3" t="str">
        <f>TEXT(Sales_Clean_Data[[#This Row],[Order_Date]],"mmm")</f>
        <v>Aug</v>
      </c>
    </row>
    <row r="105" spans="1:11" x14ac:dyDescent="0.25">
      <c r="A105" t="s">
        <v>227</v>
      </c>
      <c r="B105" s="1" t="s">
        <v>205</v>
      </c>
      <c r="C105" t="s">
        <v>18</v>
      </c>
      <c r="D105" t="s">
        <v>19</v>
      </c>
      <c r="E105" t="s">
        <v>29</v>
      </c>
      <c r="F105" t="s">
        <v>15</v>
      </c>
      <c r="G105" s="2">
        <v>4</v>
      </c>
      <c r="H105" s="3">
        <v>1072</v>
      </c>
      <c r="I105" s="3">
        <v>661</v>
      </c>
      <c r="J105" s="3">
        <v>411</v>
      </c>
      <c r="K105" s="3" t="str">
        <f>TEXT(Sales_Clean_Data[[#This Row],[Order_Date]],"mmm")</f>
        <v>Oct</v>
      </c>
    </row>
    <row r="106" spans="1:11" x14ac:dyDescent="0.25">
      <c r="A106" t="s">
        <v>228</v>
      </c>
      <c r="B106" s="1" t="s">
        <v>229</v>
      </c>
      <c r="C106" t="s">
        <v>27</v>
      </c>
      <c r="D106" t="s">
        <v>13</v>
      </c>
      <c r="E106" t="s">
        <v>58</v>
      </c>
      <c r="F106" t="s">
        <v>15</v>
      </c>
      <c r="G106" s="2">
        <v>4</v>
      </c>
      <c r="H106" s="3">
        <v>4216</v>
      </c>
      <c r="I106" s="3">
        <v>2967</v>
      </c>
      <c r="J106" s="3">
        <v>1249</v>
      </c>
      <c r="K106" s="3" t="str">
        <f>TEXT(Sales_Clean_Data[[#This Row],[Order_Date]],"mmm")</f>
        <v>Jun</v>
      </c>
    </row>
    <row r="107" spans="1:11" x14ac:dyDescent="0.25">
      <c r="A107" t="s">
        <v>230</v>
      </c>
      <c r="B107" s="1" t="s">
        <v>140</v>
      </c>
      <c r="C107" t="s">
        <v>12</v>
      </c>
      <c r="D107" t="s">
        <v>28</v>
      </c>
      <c r="E107" t="s">
        <v>38</v>
      </c>
      <c r="F107" t="s">
        <v>21</v>
      </c>
      <c r="G107" s="2">
        <v>4</v>
      </c>
      <c r="H107" s="3">
        <v>1864</v>
      </c>
      <c r="I107" s="3">
        <v>1156</v>
      </c>
      <c r="J107" s="3">
        <v>708</v>
      </c>
      <c r="K107" s="3" t="str">
        <f>TEXT(Sales_Clean_Data[[#This Row],[Order_Date]],"mmm")</f>
        <v>May</v>
      </c>
    </row>
    <row r="108" spans="1:11" x14ac:dyDescent="0.25">
      <c r="A108" t="s">
        <v>231</v>
      </c>
      <c r="B108" s="1" t="s">
        <v>180</v>
      </c>
      <c r="C108" t="s">
        <v>24</v>
      </c>
      <c r="D108" t="s">
        <v>19</v>
      </c>
      <c r="E108" t="s">
        <v>71</v>
      </c>
      <c r="F108" t="s">
        <v>21</v>
      </c>
      <c r="G108" s="2">
        <v>2</v>
      </c>
      <c r="H108" s="3">
        <v>848</v>
      </c>
      <c r="I108" s="3">
        <v>600</v>
      </c>
      <c r="J108" s="3">
        <v>248</v>
      </c>
      <c r="K108" s="3" t="str">
        <f>TEXT(Sales_Clean_Data[[#This Row],[Order_Date]],"mmm")</f>
        <v>Oct</v>
      </c>
    </row>
    <row r="109" spans="1:11" x14ac:dyDescent="0.25">
      <c r="A109" t="s">
        <v>232</v>
      </c>
      <c r="B109" s="1" t="s">
        <v>233</v>
      </c>
      <c r="C109" t="s">
        <v>18</v>
      </c>
      <c r="D109" t="s">
        <v>47</v>
      </c>
      <c r="E109" t="s">
        <v>71</v>
      </c>
      <c r="F109" t="s">
        <v>21</v>
      </c>
      <c r="G109" s="2">
        <v>4</v>
      </c>
      <c r="H109" s="3">
        <v>1724</v>
      </c>
      <c r="I109" s="3">
        <v>1265</v>
      </c>
      <c r="J109" s="3">
        <v>459</v>
      </c>
      <c r="K109" s="3" t="str">
        <f>TEXT(Sales_Clean_Data[[#This Row],[Order_Date]],"mmm")</f>
        <v>Jan</v>
      </c>
    </row>
    <row r="110" spans="1:11" x14ac:dyDescent="0.25">
      <c r="A110" t="s">
        <v>234</v>
      </c>
      <c r="B110" s="1" t="s">
        <v>152</v>
      </c>
      <c r="C110" t="s">
        <v>18</v>
      </c>
      <c r="D110" t="s">
        <v>37</v>
      </c>
      <c r="E110" t="s">
        <v>38</v>
      </c>
      <c r="F110" t="s">
        <v>21</v>
      </c>
      <c r="G110" s="2">
        <v>4</v>
      </c>
      <c r="H110" s="3">
        <v>416</v>
      </c>
      <c r="I110" s="3">
        <v>302</v>
      </c>
      <c r="J110" s="3">
        <v>114</v>
      </c>
      <c r="K110" s="3" t="str">
        <f>TEXT(Sales_Clean_Data[[#This Row],[Order_Date]],"mmm")</f>
        <v>Jan</v>
      </c>
    </row>
    <row r="111" spans="1:11" x14ac:dyDescent="0.25">
      <c r="A111" t="s">
        <v>235</v>
      </c>
      <c r="B111" s="1" t="s">
        <v>236</v>
      </c>
      <c r="C111" t="s">
        <v>18</v>
      </c>
      <c r="D111" t="s">
        <v>37</v>
      </c>
      <c r="E111" t="s">
        <v>71</v>
      </c>
      <c r="F111" t="s">
        <v>21</v>
      </c>
      <c r="G111" s="2">
        <v>1</v>
      </c>
      <c r="H111" s="3">
        <v>1063</v>
      </c>
      <c r="I111" s="3">
        <v>800</v>
      </c>
      <c r="J111" s="3">
        <v>263</v>
      </c>
      <c r="K111" s="3" t="str">
        <f>TEXT(Sales_Clean_Data[[#This Row],[Order_Date]],"mmm")</f>
        <v>Jul</v>
      </c>
    </row>
    <row r="112" spans="1:11" x14ac:dyDescent="0.25">
      <c r="A112" t="s">
        <v>237</v>
      </c>
      <c r="B112" s="1" t="s">
        <v>238</v>
      </c>
      <c r="C112" t="s">
        <v>12</v>
      </c>
      <c r="D112" t="s">
        <v>19</v>
      </c>
      <c r="E112" t="s">
        <v>71</v>
      </c>
      <c r="F112" t="s">
        <v>21</v>
      </c>
      <c r="G112" s="2">
        <v>2</v>
      </c>
      <c r="H112" s="3">
        <v>874</v>
      </c>
      <c r="I112" s="3">
        <v>532</v>
      </c>
      <c r="J112" s="3">
        <v>342</v>
      </c>
      <c r="K112" s="3" t="str">
        <f>TEXT(Sales_Clean_Data[[#This Row],[Order_Date]],"mmm")</f>
        <v>May</v>
      </c>
    </row>
    <row r="113" spans="1:11" x14ac:dyDescent="0.25">
      <c r="A113" t="s">
        <v>239</v>
      </c>
      <c r="B113" s="1" t="s">
        <v>240</v>
      </c>
      <c r="C113" t="s">
        <v>18</v>
      </c>
      <c r="D113" t="s">
        <v>47</v>
      </c>
      <c r="E113" t="s">
        <v>71</v>
      </c>
      <c r="F113" t="s">
        <v>21</v>
      </c>
      <c r="G113" s="2">
        <v>5</v>
      </c>
      <c r="H113" s="3">
        <v>2340</v>
      </c>
      <c r="I113" s="3">
        <v>1779</v>
      </c>
      <c r="J113" s="3">
        <v>561</v>
      </c>
      <c r="K113" s="3" t="str">
        <f>TEXT(Sales_Clean_Data[[#This Row],[Order_Date]],"mmm")</f>
        <v>Oct</v>
      </c>
    </row>
    <row r="114" spans="1:11" x14ac:dyDescent="0.25">
      <c r="A114" t="s">
        <v>241</v>
      </c>
      <c r="B114" s="1" t="s">
        <v>242</v>
      </c>
      <c r="C114" t="s">
        <v>12</v>
      </c>
      <c r="D114" t="s">
        <v>47</v>
      </c>
      <c r="E114" t="s">
        <v>20</v>
      </c>
      <c r="F114" t="s">
        <v>21</v>
      </c>
      <c r="G114" s="2">
        <v>3</v>
      </c>
      <c r="H114" s="3">
        <v>2751</v>
      </c>
      <c r="I114" s="3">
        <v>2043</v>
      </c>
      <c r="J114" s="3">
        <v>708</v>
      </c>
      <c r="K114" s="3" t="str">
        <f>TEXT(Sales_Clean_Data[[#This Row],[Order_Date]],"mmm")</f>
        <v>Sep</v>
      </c>
    </row>
    <row r="115" spans="1:11" x14ac:dyDescent="0.25">
      <c r="A115" t="s">
        <v>243</v>
      </c>
      <c r="B115" s="1" t="s">
        <v>244</v>
      </c>
      <c r="C115" t="s">
        <v>12</v>
      </c>
      <c r="D115" t="s">
        <v>28</v>
      </c>
      <c r="E115" t="s">
        <v>20</v>
      </c>
      <c r="F115" t="s">
        <v>21</v>
      </c>
      <c r="G115" s="2">
        <v>4</v>
      </c>
      <c r="H115" s="3">
        <v>2556</v>
      </c>
      <c r="I115" s="3">
        <v>1788</v>
      </c>
      <c r="J115" s="3">
        <v>768</v>
      </c>
      <c r="K115" s="3" t="str">
        <f>TEXT(Sales_Clean_Data[[#This Row],[Order_Date]],"mmm")</f>
        <v>Feb</v>
      </c>
    </row>
    <row r="116" spans="1:11" x14ac:dyDescent="0.25">
      <c r="A116" t="s">
        <v>245</v>
      </c>
      <c r="B116" s="1" t="s">
        <v>246</v>
      </c>
      <c r="C116" t="s">
        <v>24</v>
      </c>
      <c r="D116" t="s">
        <v>28</v>
      </c>
      <c r="E116" t="s">
        <v>38</v>
      </c>
      <c r="F116" t="s">
        <v>21</v>
      </c>
      <c r="G116" s="2">
        <v>5</v>
      </c>
      <c r="H116" s="3">
        <v>3445</v>
      </c>
      <c r="I116" s="3">
        <v>2580</v>
      </c>
      <c r="J116" s="3">
        <v>865</v>
      </c>
      <c r="K116" s="3" t="str">
        <f>TEXT(Sales_Clean_Data[[#This Row],[Order_Date]],"mmm")</f>
        <v>Dec</v>
      </c>
    </row>
    <row r="117" spans="1:11" x14ac:dyDescent="0.25">
      <c r="A117" t="s">
        <v>247</v>
      </c>
      <c r="B117" s="1" t="s">
        <v>248</v>
      </c>
      <c r="C117" t="s">
        <v>12</v>
      </c>
      <c r="D117" t="s">
        <v>47</v>
      </c>
      <c r="E117" t="s">
        <v>38</v>
      </c>
      <c r="F117" t="s">
        <v>21</v>
      </c>
      <c r="G117" s="2">
        <v>3</v>
      </c>
      <c r="H117" s="3">
        <v>1842</v>
      </c>
      <c r="I117" s="3">
        <v>1450</v>
      </c>
      <c r="J117" s="3">
        <v>392</v>
      </c>
      <c r="K117" s="3" t="str">
        <f>TEXT(Sales_Clean_Data[[#This Row],[Order_Date]],"mmm")</f>
        <v>Jul</v>
      </c>
    </row>
    <row r="118" spans="1:11" x14ac:dyDescent="0.25">
      <c r="A118" t="s">
        <v>249</v>
      </c>
      <c r="B118" s="1" t="s">
        <v>250</v>
      </c>
      <c r="C118" t="s">
        <v>24</v>
      </c>
      <c r="D118" t="s">
        <v>19</v>
      </c>
      <c r="E118" t="s">
        <v>71</v>
      </c>
      <c r="F118" t="s">
        <v>21</v>
      </c>
      <c r="G118" s="2">
        <v>2</v>
      </c>
      <c r="H118" s="3">
        <v>1048</v>
      </c>
      <c r="I118" s="3">
        <v>812</v>
      </c>
      <c r="J118" s="3">
        <v>236</v>
      </c>
      <c r="K118" s="3" t="str">
        <f>TEXT(Sales_Clean_Data[[#This Row],[Order_Date]],"mmm")</f>
        <v>Jan</v>
      </c>
    </row>
    <row r="119" spans="1:11" x14ac:dyDescent="0.25">
      <c r="A119" t="s">
        <v>251</v>
      </c>
      <c r="B119" s="1" t="s">
        <v>252</v>
      </c>
      <c r="C119" t="s">
        <v>27</v>
      </c>
      <c r="D119" t="s">
        <v>32</v>
      </c>
      <c r="E119" t="s">
        <v>14</v>
      </c>
      <c r="F119" t="s">
        <v>15</v>
      </c>
      <c r="G119" s="2">
        <v>5</v>
      </c>
      <c r="H119" s="3">
        <v>2475</v>
      </c>
      <c r="I119" s="3">
        <v>1703</v>
      </c>
      <c r="J119" s="3">
        <v>772</v>
      </c>
      <c r="K119" s="3" t="str">
        <f>TEXT(Sales_Clean_Data[[#This Row],[Order_Date]],"mmm")</f>
        <v>Jan</v>
      </c>
    </row>
    <row r="120" spans="1:11" x14ac:dyDescent="0.25">
      <c r="A120" t="s">
        <v>253</v>
      </c>
      <c r="B120" s="1" t="s">
        <v>219</v>
      </c>
      <c r="C120" t="s">
        <v>27</v>
      </c>
      <c r="D120" t="s">
        <v>37</v>
      </c>
      <c r="E120" t="s">
        <v>71</v>
      </c>
      <c r="F120" t="s">
        <v>21</v>
      </c>
      <c r="G120" s="2">
        <v>2</v>
      </c>
      <c r="H120" s="3">
        <v>1608</v>
      </c>
      <c r="I120" s="3">
        <v>997</v>
      </c>
      <c r="J120" s="3">
        <v>611</v>
      </c>
      <c r="K120" s="3" t="str">
        <f>TEXT(Sales_Clean_Data[[#This Row],[Order_Date]],"mmm")</f>
        <v>Jun</v>
      </c>
    </row>
    <row r="121" spans="1:11" x14ac:dyDescent="0.25">
      <c r="A121" t="s">
        <v>254</v>
      </c>
      <c r="B121" s="1" t="s">
        <v>255</v>
      </c>
      <c r="C121" t="s">
        <v>24</v>
      </c>
      <c r="D121" t="s">
        <v>13</v>
      </c>
      <c r="E121" t="s">
        <v>38</v>
      </c>
      <c r="F121" t="s">
        <v>21</v>
      </c>
      <c r="G121" s="2">
        <v>3</v>
      </c>
      <c r="H121" s="3">
        <v>2196</v>
      </c>
      <c r="I121" s="3">
        <v>1648</v>
      </c>
      <c r="J121" s="3">
        <v>548</v>
      </c>
      <c r="K121" s="3" t="str">
        <f>TEXT(Sales_Clean_Data[[#This Row],[Order_Date]],"mmm")</f>
        <v>Oct</v>
      </c>
    </row>
    <row r="122" spans="1:11" x14ac:dyDescent="0.25">
      <c r="A122" t="s">
        <v>256</v>
      </c>
      <c r="B122" s="1" t="s">
        <v>257</v>
      </c>
      <c r="C122" t="s">
        <v>27</v>
      </c>
      <c r="D122" t="s">
        <v>37</v>
      </c>
      <c r="E122" t="s">
        <v>38</v>
      </c>
      <c r="F122" t="s">
        <v>21</v>
      </c>
      <c r="G122" s="2">
        <v>3</v>
      </c>
      <c r="H122" s="3">
        <v>594</v>
      </c>
      <c r="I122" s="3">
        <v>393</v>
      </c>
      <c r="J122" s="3">
        <v>201</v>
      </c>
      <c r="K122" s="3" t="str">
        <f>TEXT(Sales_Clean_Data[[#This Row],[Order_Date]],"mmm")</f>
        <v>Dec</v>
      </c>
    </row>
    <row r="123" spans="1:11" x14ac:dyDescent="0.25">
      <c r="A123" t="s">
        <v>258</v>
      </c>
      <c r="B123" s="1" t="s">
        <v>259</v>
      </c>
      <c r="C123" t="s">
        <v>12</v>
      </c>
      <c r="D123" t="s">
        <v>13</v>
      </c>
      <c r="E123" t="s">
        <v>20</v>
      </c>
      <c r="F123" t="s">
        <v>21</v>
      </c>
      <c r="G123" s="2">
        <v>5</v>
      </c>
      <c r="H123" s="3">
        <v>1885</v>
      </c>
      <c r="I123" s="3">
        <v>1221</v>
      </c>
      <c r="J123" s="3">
        <v>664</v>
      </c>
      <c r="K123" s="3" t="str">
        <f>TEXT(Sales_Clean_Data[[#This Row],[Order_Date]],"mmm")</f>
        <v>Jul</v>
      </c>
    </row>
    <row r="124" spans="1:11" x14ac:dyDescent="0.25">
      <c r="A124" t="s">
        <v>260</v>
      </c>
      <c r="B124" s="1" t="s">
        <v>261</v>
      </c>
      <c r="C124" t="s">
        <v>24</v>
      </c>
      <c r="D124" t="s">
        <v>32</v>
      </c>
      <c r="E124" t="s">
        <v>58</v>
      </c>
      <c r="F124" t="s">
        <v>15</v>
      </c>
      <c r="G124" s="2">
        <v>3</v>
      </c>
      <c r="H124" s="3">
        <v>2712</v>
      </c>
      <c r="I124" s="3">
        <v>1984</v>
      </c>
      <c r="J124" s="3">
        <v>728</v>
      </c>
      <c r="K124" s="3" t="str">
        <f>TEXT(Sales_Clean_Data[[#This Row],[Order_Date]],"mmm")</f>
        <v>Sep</v>
      </c>
    </row>
    <row r="125" spans="1:11" x14ac:dyDescent="0.25">
      <c r="A125" t="s">
        <v>262</v>
      </c>
      <c r="B125" s="1" t="s">
        <v>138</v>
      </c>
      <c r="C125" t="s">
        <v>27</v>
      </c>
      <c r="D125" t="s">
        <v>37</v>
      </c>
      <c r="E125" t="s">
        <v>71</v>
      </c>
      <c r="F125" t="s">
        <v>21</v>
      </c>
      <c r="G125" s="2">
        <v>2</v>
      </c>
      <c r="H125" s="3">
        <v>1494</v>
      </c>
      <c r="I125" s="3">
        <v>1013</v>
      </c>
      <c r="J125" s="3">
        <v>481</v>
      </c>
      <c r="K125" s="3" t="str">
        <f>TEXT(Sales_Clean_Data[[#This Row],[Order_Date]],"mmm")</f>
        <v>Dec</v>
      </c>
    </row>
    <row r="126" spans="1:11" x14ac:dyDescent="0.25">
      <c r="A126" t="s">
        <v>263</v>
      </c>
      <c r="B126" s="1" t="s">
        <v>264</v>
      </c>
      <c r="C126" t="s">
        <v>12</v>
      </c>
      <c r="D126" t="s">
        <v>28</v>
      </c>
      <c r="E126" t="s">
        <v>71</v>
      </c>
      <c r="F126" t="s">
        <v>21</v>
      </c>
      <c r="G126" s="2">
        <v>2</v>
      </c>
      <c r="H126" s="3">
        <v>236</v>
      </c>
      <c r="I126" s="3">
        <v>178</v>
      </c>
      <c r="J126" s="3">
        <v>58</v>
      </c>
      <c r="K126" s="3" t="str">
        <f>TEXT(Sales_Clean_Data[[#This Row],[Order_Date]],"mmm")</f>
        <v>Mar</v>
      </c>
    </row>
    <row r="127" spans="1:11" x14ac:dyDescent="0.25">
      <c r="A127" t="s">
        <v>265</v>
      </c>
      <c r="B127" s="1" t="s">
        <v>266</v>
      </c>
      <c r="C127" t="s">
        <v>27</v>
      </c>
      <c r="D127" t="s">
        <v>47</v>
      </c>
      <c r="E127" t="s">
        <v>14</v>
      </c>
      <c r="F127" t="s">
        <v>15</v>
      </c>
      <c r="G127" s="2">
        <v>5</v>
      </c>
      <c r="H127" s="3">
        <v>5980</v>
      </c>
      <c r="I127" s="3">
        <v>3898</v>
      </c>
      <c r="J127" s="3">
        <v>2082</v>
      </c>
      <c r="K127" s="3" t="str">
        <f>TEXT(Sales_Clean_Data[[#This Row],[Order_Date]],"mmm")</f>
        <v>Jan</v>
      </c>
    </row>
    <row r="128" spans="1:11" x14ac:dyDescent="0.25">
      <c r="A128" t="s">
        <v>267</v>
      </c>
      <c r="B128" s="1" t="s">
        <v>268</v>
      </c>
      <c r="C128" t="s">
        <v>24</v>
      </c>
      <c r="D128" t="s">
        <v>47</v>
      </c>
      <c r="E128" t="s">
        <v>71</v>
      </c>
      <c r="F128" t="s">
        <v>21</v>
      </c>
      <c r="G128" s="2">
        <v>4</v>
      </c>
      <c r="H128" s="3">
        <v>1868</v>
      </c>
      <c r="I128" s="3">
        <v>1314</v>
      </c>
      <c r="J128" s="3">
        <v>554</v>
      </c>
      <c r="K128" s="3" t="str">
        <f>TEXT(Sales_Clean_Data[[#This Row],[Order_Date]],"mmm")</f>
        <v>May</v>
      </c>
    </row>
    <row r="129" spans="1:11" x14ac:dyDescent="0.25">
      <c r="A129" t="s">
        <v>269</v>
      </c>
      <c r="B129" s="1" t="s">
        <v>270</v>
      </c>
      <c r="C129" t="s">
        <v>12</v>
      </c>
      <c r="D129" t="s">
        <v>47</v>
      </c>
      <c r="E129" t="s">
        <v>58</v>
      </c>
      <c r="F129" t="s">
        <v>15</v>
      </c>
      <c r="G129" s="2">
        <v>3</v>
      </c>
      <c r="H129" s="3">
        <v>1875</v>
      </c>
      <c r="I129" s="3">
        <v>1220</v>
      </c>
      <c r="J129" s="3">
        <v>655</v>
      </c>
      <c r="K129" s="3" t="str">
        <f>TEXT(Sales_Clean_Data[[#This Row],[Order_Date]],"mmm")</f>
        <v>Jul</v>
      </c>
    </row>
    <row r="130" spans="1:11" x14ac:dyDescent="0.25">
      <c r="A130" t="s">
        <v>271</v>
      </c>
      <c r="B130" s="1" t="s">
        <v>107</v>
      </c>
      <c r="C130" t="s">
        <v>18</v>
      </c>
      <c r="D130" t="s">
        <v>32</v>
      </c>
      <c r="E130" t="s">
        <v>20</v>
      </c>
      <c r="F130" t="s">
        <v>21</v>
      </c>
      <c r="G130" s="2">
        <v>3</v>
      </c>
      <c r="H130" s="3">
        <v>3351</v>
      </c>
      <c r="I130" s="3">
        <v>2647</v>
      </c>
      <c r="J130" s="3">
        <v>704</v>
      </c>
      <c r="K130" s="3" t="str">
        <f>TEXT(Sales_Clean_Data[[#This Row],[Order_Date]],"mmm")</f>
        <v>Nov</v>
      </c>
    </row>
    <row r="131" spans="1:11" x14ac:dyDescent="0.25">
      <c r="A131" t="s">
        <v>272</v>
      </c>
      <c r="B131" s="1" t="s">
        <v>169</v>
      </c>
      <c r="C131" t="s">
        <v>27</v>
      </c>
      <c r="D131" t="s">
        <v>13</v>
      </c>
      <c r="E131" t="s">
        <v>29</v>
      </c>
      <c r="F131" t="s">
        <v>15</v>
      </c>
      <c r="G131" s="2">
        <v>2</v>
      </c>
      <c r="H131" s="3">
        <v>1024</v>
      </c>
      <c r="I131" s="3">
        <v>749</v>
      </c>
      <c r="J131" s="3">
        <v>275</v>
      </c>
      <c r="K131" s="3" t="str">
        <f>TEXT(Sales_Clean_Data[[#This Row],[Order_Date]],"mmm")</f>
        <v>Jan</v>
      </c>
    </row>
    <row r="132" spans="1:11" x14ac:dyDescent="0.25">
      <c r="A132" t="s">
        <v>273</v>
      </c>
      <c r="B132" s="1" t="s">
        <v>274</v>
      </c>
      <c r="C132" t="s">
        <v>24</v>
      </c>
      <c r="D132" t="s">
        <v>19</v>
      </c>
      <c r="E132" t="s">
        <v>38</v>
      </c>
      <c r="F132" t="s">
        <v>21</v>
      </c>
      <c r="G132" s="2">
        <v>1</v>
      </c>
      <c r="H132" s="3">
        <v>432</v>
      </c>
      <c r="I132" s="3">
        <v>286</v>
      </c>
      <c r="J132" s="3">
        <v>146</v>
      </c>
      <c r="K132" s="3" t="str">
        <f>TEXT(Sales_Clean_Data[[#This Row],[Order_Date]],"mmm")</f>
        <v>Aug</v>
      </c>
    </row>
    <row r="133" spans="1:11" x14ac:dyDescent="0.25">
      <c r="A133" t="s">
        <v>275</v>
      </c>
      <c r="B133" s="1" t="s">
        <v>276</v>
      </c>
      <c r="C133" t="s">
        <v>12</v>
      </c>
      <c r="D133" t="s">
        <v>19</v>
      </c>
      <c r="E133" t="s">
        <v>58</v>
      </c>
      <c r="F133" t="s">
        <v>15</v>
      </c>
      <c r="G133" s="2">
        <v>4</v>
      </c>
      <c r="H133" s="3">
        <v>3504</v>
      </c>
      <c r="I133" s="3">
        <v>2524</v>
      </c>
      <c r="J133" s="3">
        <v>980</v>
      </c>
      <c r="K133" s="3" t="str">
        <f>TEXT(Sales_Clean_Data[[#This Row],[Order_Date]],"mmm")</f>
        <v>Apr</v>
      </c>
    </row>
    <row r="134" spans="1:11" x14ac:dyDescent="0.25">
      <c r="A134" t="s">
        <v>277</v>
      </c>
      <c r="B134" s="1" t="s">
        <v>278</v>
      </c>
      <c r="C134" t="s">
        <v>12</v>
      </c>
      <c r="D134" t="s">
        <v>19</v>
      </c>
      <c r="E134" t="s">
        <v>38</v>
      </c>
      <c r="F134" t="s">
        <v>21</v>
      </c>
      <c r="G134" s="2">
        <v>4</v>
      </c>
      <c r="H134" s="3">
        <v>2480</v>
      </c>
      <c r="I134" s="3">
        <v>1731</v>
      </c>
      <c r="J134" s="3">
        <v>749</v>
      </c>
      <c r="K134" s="3" t="str">
        <f>TEXT(Sales_Clean_Data[[#This Row],[Order_Date]],"mmm")</f>
        <v>Aug</v>
      </c>
    </row>
    <row r="135" spans="1:11" x14ac:dyDescent="0.25">
      <c r="A135" t="s">
        <v>279</v>
      </c>
      <c r="B135" s="1" t="s">
        <v>280</v>
      </c>
      <c r="C135" t="s">
        <v>24</v>
      </c>
      <c r="D135" t="s">
        <v>28</v>
      </c>
      <c r="E135" t="s">
        <v>14</v>
      </c>
      <c r="F135" t="s">
        <v>15</v>
      </c>
      <c r="G135" s="2">
        <v>4</v>
      </c>
      <c r="H135" s="3">
        <v>1756</v>
      </c>
      <c r="I135" s="3">
        <v>1182</v>
      </c>
      <c r="J135" s="3">
        <v>574</v>
      </c>
      <c r="K135" s="3" t="str">
        <f>TEXT(Sales_Clean_Data[[#This Row],[Order_Date]],"mmm")</f>
        <v>Oct</v>
      </c>
    </row>
    <row r="136" spans="1:11" x14ac:dyDescent="0.25">
      <c r="A136" t="s">
        <v>281</v>
      </c>
      <c r="B136" s="1" t="s">
        <v>203</v>
      </c>
      <c r="C136" t="s">
        <v>24</v>
      </c>
      <c r="D136" t="s">
        <v>32</v>
      </c>
      <c r="E136" t="s">
        <v>29</v>
      </c>
      <c r="F136" t="s">
        <v>15</v>
      </c>
      <c r="G136" s="2">
        <v>3</v>
      </c>
      <c r="H136" s="3">
        <v>2409</v>
      </c>
      <c r="I136" s="3">
        <v>1923</v>
      </c>
      <c r="J136" s="3">
        <v>486</v>
      </c>
      <c r="K136" s="3" t="str">
        <f>TEXT(Sales_Clean_Data[[#This Row],[Order_Date]],"mmm")</f>
        <v>Mar</v>
      </c>
    </row>
    <row r="137" spans="1:11" x14ac:dyDescent="0.25">
      <c r="A137" t="s">
        <v>282</v>
      </c>
      <c r="B137" s="1" t="s">
        <v>283</v>
      </c>
      <c r="C137" t="s">
        <v>12</v>
      </c>
      <c r="D137" t="s">
        <v>19</v>
      </c>
      <c r="E137" t="s">
        <v>58</v>
      </c>
      <c r="F137" t="s">
        <v>15</v>
      </c>
      <c r="G137" s="2">
        <v>1</v>
      </c>
      <c r="H137" s="3">
        <v>530</v>
      </c>
      <c r="I137" s="3">
        <v>379</v>
      </c>
      <c r="J137" s="3">
        <v>151</v>
      </c>
      <c r="K137" s="3" t="str">
        <f>TEXT(Sales_Clean_Data[[#This Row],[Order_Date]],"mmm")</f>
        <v>May</v>
      </c>
    </row>
    <row r="138" spans="1:11" x14ac:dyDescent="0.25">
      <c r="A138" t="s">
        <v>284</v>
      </c>
      <c r="B138" s="1" t="s">
        <v>285</v>
      </c>
      <c r="C138" t="s">
        <v>27</v>
      </c>
      <c r="D138" t="s">
        <v>47</v>
      </c>
      <c r="E138" t="s">
        <v>71</v>
      </c>
      <c r="F138" t="s">
        <v>21</v>
      </c>
      <c r="G138" s="2">
        <v>1</v>
      </c>
      <c r="H138" s="3">
        <v>587</v>
      </c>
      <c r="I138" s="3">
        <v>427</v>
      </c>
      <c r="J138" s="3">
        <v>160</v>
      </c>
      <c r="K138" s="3" t="str">
        <f>TEXT(Sales_Clean_Data[[#This Row],[Order_Date]],"mmm")</f>
        <v>Jul</v>
      </c>
    </row>
    <row r="139" spans="1:11" x14ac:dyDescent="0.25">
      <c r="A139" t="s">
        <v>286</v>
      </c>
      <c r="B139" s="1" t="s">
        <v>105</v>
      </c>
      <c r="C139" t="s">
        <v>12</v>
      </c>
      <c r="D139" t="s">
        <v>19</v>
      </c>
      <c r="E139" t="s">
        <v>71</v>
      </c>
      <c r="F139" t="s">
        <v>21</v>
      </c>
      <c r="G139" s="2">
        <v>3</v>
      </c>
      <c r="H139" s="3">
        <v>471</v>
      </c>
      <c r="I139" s="3">
        <v>342</v>
      </c>
      <c r="J139" s="3">
        <v>129</v>
      </c>
      <c r="K139" s="3" t="str">
        <f>TEXT(Sales_Clean_Data[[#This Row],[Order_Date]],"mmm")</f>
        <v>Jul</v>
      </c>
    </row>
    <row r="140" spans="1:11" x14ac:dyDescent="0.25">
      <c r="A140" t="s">
        <v>287</v>
      </c>
      <c r="B140" s="1" t="s">
        <v>288</v>
      </c>
      <c r="C140" t="s">
        <v>24</v>
      </c>
      <c r="D140" t="s">
        <v>19</v>
      </c>
      <c r="E140" t="s">
        <v>71</v>
      </c>
      <c r="F140" t="s">
        <v>21</v>
      </c>
      <c r="G140" s="2">
        <v>4</v>
      </c>
      <c r="H140" s="3">
        <v>1200</v>
      </c>
      <c r="I140" s="3">
        <v>809</v>
      </c>
      <c r="J140" s="3">
        <v>391</v>
      </c>
      <c r="K140" s="3" t="str">
        <f>TEXT(Sales_Clean_Data[[#This Row],[Order_Date]],"mmm")</f>
        <v>Apr</v>
      </c>
    </row>
    <row r="141" spans="1:11" x14ac:dyDescent="0.25">
      <c r="A141" t="s">
        <v>289</v>
      </c>
      <c r="B141" s="1" t="s">
        <v>290</v>
      </c>
      <c r="C141" t="s">
        <v>12</v>
      </c>
      <c r="D141" t="s">
        <v>19</v>
      </c>
      <c r="E141" t="s">
        <v>71</v>
      </c>
      <c r="F141" t="s">
        <v>21</v>
      </c>
      <c r="G141" s="2">
        <v>2</v>
      </c>
      <c r="H141" s="3">
        <v>2088</v>
      </c>
      <c r="I141" s="3">
        <v>1428</v>
      </c>
      <c r="J141" s="3">
        <v>660</v>
      </c>
      <c r="K141" s="3" t="str">
        <f>TEXT(Sales_Clean_Data[[#This Row],[Order_Date]],"mmm")</f>
        <v>Jun</v>
      </c>
    </row>
    <row r="142" spans="1:11" x14ac:dyDescent="0.25">
      <c r="A142" t="s">
        <v>291</v>
      </c>
      <c r="B142" s="1" t="s">
        <v>292</v>
      </c>
      <c r="C142" t="s">
        <v>27</v>
      </c>
      <c r="D142" t="s">
        <v>32</v>
      </c>
      <c r="E142" t="s">
        <v>14</v>
      </c>
      <c r="F142" t="s">
        <v>15</v>
      </c>
      <c r="G142" s="2">
        <v>1</v>
      </c>
      <c r="H142" s="3">
        <v>481</v>
      </c>
      <c r="I142" s="3">
        <v>368</v>
      </c>
      <c r="J142" s="3">
        <v>113</v>
      </c>
      <c r="K142" s="3" t="str">
        <f>TEXT(Sales_Clean_Data[[#This Row],[Order_Date]],"mmm")</f>
        <v>May</v>
      </c>
    </row>
    <row r="143" spans="1:11" x14ac:dyDescent="0.25">
      <c r="A143" t="s">
        <v>293</v>
      </c>
      <c r="B143" s="1" t="s">
        <v>294</v>
      </c>
      <c r="C143" t="s">
        <v>24</v>
      </c>
      <c r="D143" t="s">
        <v>28</v>
      </c>
      <c r="E143" t="s">
        <v>20</v>
      </c>
      <c r="F143" t="s">
        <v>21</v>
      </c>
      <c r="G143" s="2">
        <v>4</v>
      </c>
      <c r="H143" s="3">
        <v>2656</v>
      </c>
      <c r="I143" s="3">
        <v>1627</v>
      </c>
      <c r="J143" s="3">
        <v>1029</v>
      </c>
      <c r="K143" s="3" t="str">
        <f>TEXT(Sales_Clean_Data[[#This Row],[Order_Date]],"mmm")</f>
        <v>Feb</v>
      </c>
    </row>
    <row r="144" spans="1:11" x14ac:dyDescent="0.25">
      <c r="A144" t="s">
        <v>295</v>
      </c>
      <c r="B144" s="1" t="s">
        <v>296</v>
      </c>
      <c r="C144" t="s">
        <v>12</v>
      </c>
      <c r="D144" t="s">
        <v>32</v>
      </c>
      <c r="E144" t="s">
        <v>38</v>
      </c>
      <c r="F144" t="s">
        <v>21</v>
      </c>
      <c r="G144" s="2">
        <v>5</v>
      </c>
      <c r="H144" s="3">
        <v>4970</v>
      </c>
      <c r="I144" s="3">
        <v>3085</v>
      </c>
      <c r="J144" s="3">
        <v>1885</v>
      </c>
      <c r="K144" s="3" t="str">
        <f>TEXT(Sales_Clean_Data[[#This Row],[Order_Date]],"mmm")</f>
        <v>Aug</v>
      </c>
    </row>
    <row r="145" spans="1:11" x14ac:dyDescent="0.25">
      <c r="A145" t="s">
        <v>297</v>
      </c>
      <c r="B145" s="1" t="s">
        <v>298</v>
      </c>
      <c r="C145" t="s">
        <v>27</v>
      </c>
      <c r="D145" t="s">
        <v>32</v>
      </c>
      <c r="E145" t="s">
        <v>29</v>
      </c>
      <c r="F145" t="s">
        <v>15</v>
      </c>
      <c r="G145" s="2">
        <v>5</v>
      </c>
      <c r="H145" s="3">
        <v>1740</v>
      </c>
      <c r="I145" s="3">
        <v>1344</v>
      </c>
      <c r="J145" s="3">
        <v>396</v>
      </c>
      <c r="K145" s="3" t="str">
        <f>TEXT(Sales_Clean_Data[[#This Row],[Order_Date]],"mmm")</f>
        <v>Oct</v>
      </c>
    </row>
    <row r="146" spans="1:11" x14ac:dyDescent="0.25">
      <c r="A146" t="s">
        <v>299</v>
      </c>
      <c r="B146" s="1" t="s">
        <v>300</v>
      </c>
      <c r="C146" t="s">
        <v>27</v>
      </c>
      <c r="D146" t="s">
        <v>19</v>
      </c>
      <c r="E146" t="s">
        <v>14</v>
      </c>
      <c r="F146" t="s">
        <v>15</v>
      </c>
      <c r="G146" s="2">
        <v>1</v>
      </c>
      <c r="H146" s="3">
        <v>302</v>
      </c>
      <c r="I146" s="3">
        <v>241</v>
      </c>
      <c r="J146" s="3">
        <v>61</v>
      </c>
      <c r="K146" s="3" t="str">
        <f>TEXT(Sales_Clean_Data[[#This Row],[Order_Date]],"mmm")</f>
        <v>Nov</v>
      </c>
    </row>
    <row r="147" spans="1:11" x14ac:dyDescent="0.25">
      <c r="A147" t="s">
        <v>301</v>
      </c>
      <c r="B147" s="1" t="s">
        <v>302</v>
      </c>
      <c r="C147" t="s">
        <v>24</v>
      </c>
      <c r="D147" t="s">
        <v>37</v>
      </c>
      <c r="E147" t="s">
        <v>38</v>
      </c>
      <c r="F147" t="s">
        <v>21</v>
      </c>
      <c r="G147" s="2">
        <v>5</v>
      </c>
      <c r="H147" s="3">
        <v>1160</v>
      </c>
      <c r="I147" s="3">
        <v>927</v>
      </c>
      <c r="J147" s="3">
        <v>233</v>
      </c>
      <c r="K147" s="3" t="str">
        <f>TEXT(Sales_Clean_Data[[#This Row],[Order_Date]],"mmm")</f>
        <v>Feb</v>
      </c>
    </row>
    <row r="148" spans="1:11" x14ac:dyDescent="0.25">
      <c r="A148" t="s">
        <v>303</v>
      </c>
      <c r="B148" s="1" t="s">
        <v>304</v>
      </c>
      <c r="C148" t="s">
        <v>12</v>
      </c>
      <c r="D148" t="s">
        <v>37</v>
      </c>
      <c r="E148" t="s">
        <v>58</v>
      </c>
      <c r="F148" t="s">
        <v>15</v>
      </c>
      <c r="G148" s="2">
        <v>5</v>
      </c>
      <c r="H148" s="3">
        <v>2485</v>
      </c>
      <c r="I148" s="3">
        <v>1914</v>
      </c>
      <c r="J148" s="3">
        <v>571</v>
      </c>
      <c r="K148" s="3" t="str">
        <f>TEXT(Sales_Clean_Data[[#This Row],[Order_Date]],"mmm")</f>
        <v>Sep</v>
      </c>
    </row>
    <row r="149" spans="1:11" x14ac:dyDescent="0.25">
      <c r="A149" t="s">
        <v>305</v>
      </c>
      <c r="B149" s="1" t="s">
        <v>128</v>
      </c>
      <c r="C149" t="s">
        <v>18</v>
      </c>
      <c r="D149" t="s">
        <v>19</v>
      </c>
      <c r="E149" t="s">
        <v>38</v>
      </c>
      <c r="F149" t="s">
        <v>21</v>
      </c>
      <c r="G149" s="2">
        <v>1</v>
      </c>
      <c r="H149" s="3">
        <v>814</v>
      </c>
      <c r="I149" s="3">
        <v>542</v>
      </c>
      <c r="J149" s="3">
        <v>272</v>
      </c>
      <c r="K149" s="3" t="str">
        <f>TEXT(Sales_Clean_Data[[#This Row],[Order_Date]],"mmm")</f>
        <v>Sep</v>
      </c>
    </row>
    <row r="150" spans="1:11" x14ac:dyDescent="0.25">
      <c r="A150" t="s">
        <v>306</v>
      </c>
      <c r="B150" s="1" t="s">
        <v>31</v>
      </c>
      <c r="C150" t="s">
        <v>24</v>
      </c>
      <c r="D150" t="s">
        <v>37</v>
      </c>
      <c r="E150" t="s">
        <v>20</v>
      </c>
      <c r="F150" t="s">
        <v>21</v>
      </c>
      <c r="G150" s="2">
        <v>3</v>
      </c>
      <c r="H150" s="3">
        <v>1665</v>
      </c>
      <c r="I150" s="3">
        <v>1073</v>
      </c>
      <c r="J150" s="3">
        <v>592</v>
      </c>
      <c r="K150" s="3" t="str">
        <f>TEXT(Sales_Clean_Data[[#This Row],[Order_Date]],"mmm")</f>
        <v>Apr</v>
      </c>
    </row>
    <row r="151" spans="1:11" x14ac:dyDescent="0.25">
      <c r="A151" t="s">
        <v>307</v>
      </c>
      <c r="B151" s="1" t="s">
        <v>89</v>
      </c>
      <c r="C151" t="s">
        <v>27</v>
      </c>
      <c r="D151" t="s">
        <v>28</v>
      </c>
      <c r="E151" t="s">
        <v>58</v>
      </c>
      <c r="F151" t="s">
        <v>15</v>
      </c>
      <c r="G151" s="2">
        <v>4</v>
      </c>
      <c r="H151" s="3">
        <v>1044</v>
      </c>
      <c r="I151" s="3">
        <v>719</v>
      </c>
      <c r="J151" s="3">
        <v>325</v>
      </c>
      <c r="K151" s="3" t="str">
        <f>TEXT(Sales_Clean_Data[[#This Row],[Order_Date]],"mmm")</f>
        <v>Mar</v>
      </c>
    </row>
    <row r="152" spans="1:11" x14ac:dyDescent="0.25">
      <c r="A152" t="s">
        <v>308</v>
      </c>
      <c r="B152" s="1" t="s">
        <v>309</v>
      </c>
      <c r="C152" t="s">
        <v>24</v>
      </c>
      <c r="D152" t="s">
        <v>47</v>
      </c>
      <c r="E152" t="s">
        <v>29</v>
      </c>
      <c r="F152" t="s">
        <v>15</v>
      </c>
      <c r="G152" s="2">
        <v>1</v>
      </c>
      <c r="H152" s="3">
        <v>796</v>
      </c>
      <c r="I152" s="3">
        <v>531</v>
      </c>
      <c r="J152" s="3">
        <v>265</v>
      </c>
      <c r="K152" s="3" t="str">
        <f>TEXT(Sales_Clean_Data[[#This Row],[Order_Date]],"mmm")</f>
        <v>Jun</v>
      </c>
    </row>
    <row r="153" spans="1:11" x14ac:dyDescent="0.25">
      <c r="A153" t="s">
        <v>310</v>
      </c>
      <c r="B153" s="1" t="s">
        <v>44</v>
      </c>
      <c r="C153" t="s">
        <v>12</v>
      </c>
      <c r="D153" t="s">
        <v>32</v>
      </c>
      <c r="E153" t="s">
        <v>14</v>
      </c>
      <c r="F153" t="s">
        <v>15</v>
      </c>
      <c r="G153" s="2">
        <v>4</v>
      </c>
      <c r="H153" s="3">
        <v>2424</v>
      </c>
      <c r="I153" s="3">
        <v>1461</v>
      </c>
      <c r="J153" s="3">
        <v>963</v>
      </c>
      <c r="K153" s="3" t="str">
        <f>TEXT(Sales_Clean_Data[[#This Row],[Order_Date]],"mmm")</f>
        <v>Dec</v>
      </c>
    </row>
    <row r="154" spans="1:11" x14ac:dyDescent="0.25">
      <c r="A154" t="s">
        <v>311</v>
      </c>
      <c r="B154" s="1" t="s">
        <v>55</v>
      </c>
      <c r="C154" t="s">
        <v>24</v>
      </c>
      <c r="D154" t="s">
        <v>47</v>
      </c>
      <c r="E154" t="s">
        <v>58</v>
      </c>
      <c r="F154" t="s">
        <v>15</v>
      </c>
      <c r="G154" s="2">
        <v>3</v>
      </c>
      <c r="H154" s="3">
        <v>3534</v>
      </c>
      <c r="I154" s="3">
        <v>2761</v>
      </c>
      <c r="J154" s="3">
        <v>773</v>
      </c>
      <c r="K154" s="3" t="str">
        <f>TEXT(Sales_Clean_Data[[#This Row],[Order_Date]],"mmm")</f>
        <v>Jul</v>
      </c>
    </row>
    <row r="155" spans="1:11" x14ac:dyDescent="0.25">
      <c r="A155" t="s">
        <v>312</v>
      </c>
      <c r="B155" s="1" t="s">
        <v>255</v>
      </c>
      <c r="C155" t="s">
        <v>27</v>
      </c>
      <c r="D155" t="s">
        <v>13</v>
      </c>
      <c r="E155" t="s">
        <v>58</v>
      </c>
      <c r="F155" t="s">
        <v>15</v>
      </c>
      <c r="G155" s="2">
        <v>2</v>
      </c>
      <c r="H155" s="3">
        <v>1380</v>
      </c>
      <c r="I155" s="3">
        <v>844</v>
      </c>
      <c r="J155" s="3">
        <v>536</v>
      </c>
      <c r="K155" s="3" t="str">
        <f>TEXT(Sales_Clean_Data[[#This Row],[Order_Date]],"mmm")</f>
        <v>Oct</v>
      </c>
    </row>
    <row r="156" spans="1:11" x14ac:dyDescent="0.25">
      <c r="A156" t="s">
        <v>313</v>
      </c>
      <c r="B156" s="1" t="s">
        <v>244</v>
      </c>
      <c r="C156" t="s">
        <v>18</v>
      </c>
      <c r="D156" t="s">
        <v>13</v>
      </c>
      <c r="E156" t="s">
        <v>38</v>
      </c>
      <c r="F156" t="s">
        <v>21</v>
      </c>
      <c r="G156" s="2">
        <v>1</v>
      </c>
      <c r="H156" s="3">
        <v>553</v>
      </c>
      <c r="I156" s="3">
        <v>409</v>
      </c>
      <c r="J156" s="3">
        <v>144</v>
      </c>
      <c r="K156" s="3" t="str">
        <f>TEXT(Sales_Clean_Data[[#This Row],[Order_Date]],"mmm")</f>
        <v>Feb</v>
      </c>
    </row>
    <row r="157" spans="1:11" x14ac:dyDescent="0.25">
      <c r="A157" t="s">
        <v>314</v>
      </c>
      <c r="B157" s="1" t="s">
        <v>121</v>
      </c>
      <c r="C157" t="s">
        <v>24</v>
      </c>
      <c r="D157" t="s">
        <v>28</v>
      </c>
      <c r="E157" t="s">
        <v>14</v>
      </c>
      <c r="F157" t="s">
        <v>15</v>
      </c>
      <c r="G157" s="2">
        <v>2</v>
      </c>
      <c r="H157" s="3">
        <v>1472</v>
      </c>
      <c r="I157" s="3">
        <v>956</v>
      </c>
      <c r="J157" s="3">
        <v>516</v>
      </c>
      <c r="K157" s="3" t="str">
        <f>TEXT(Sales_Clean_Data[[#This Row],[Order_Date]],"mmm")</f>
        <v>Dec</v>
      </c>
    </row>
    <row r="158" spans="1:11" x14ac:dyDescent="0.25">
      <c r="A158" t="s">
        <v>315</v>
      </c>
      <c r="B158" s="1" t="s">
        <v>316</v>
      </c>
      <c r="C158" t="s">
        <v>12</v>
      </c>
      <c r="D158" t="s">
        <v>19</v>
      </c>
      <c r="E158" t="s">
        <v>29</v>
      </c>
      <c r="F158" t="s">
        <v>15</v>
      </c>
      <c r="G158" s="2">
        <v>4</v>
      </c>
      <c r="H158" s="3">
        <v>3572</v>
      </c>
      <c r="I158" s="3">
        <v>2687</v>
      </c>
      <c r="J158" s="3">
        <v>885</v>
      </c>
      <c r="K158" s="3" t="str">
        <f>TEXT(Sales_Clean_Data[[#This Row],[Order_Date]],"mmm")</f>
        <v>Sep</v>
      </c>
    </row>
    <row r="159" spans="1:11" x14ac:dyDescent="0.25">
      <c r="A159" t="s">
        <v>317</v>
      </c>
      <c r="B159" s="1" t="s">
        <v>318</v>
      </c>
      <c r="C159" t="s">
        <v>24</v>
      </c>
      <c r="D159" t="s">
        <v>47</v>
      </c>
      <c r="E159" t="s">
        <v>29</v>
      </c>
      <c r="F159" t="s">
        <v>15</v>
      </c>
      <c r="G159" s="2">
        <v>4</v>
      </c>
      <c r="H159" s="3">
        <v>3184</v>
      </c>
      <c r="I159" s="3">
        <v>2271</v>
      </c>
      <c r="J159" s="3">
        <v>913</v>
      </c>
      <c r="K159" s="3" t="str">
        <f>TEXT(Sales_Clean_Data[[#This Row],[Order_Date]],"mmm")</f>
        <v>Mar</v>
      </c>
    </row>
    <row r="160" spans="1:11" x14ac:dyDescent="0.25">
      <c r="A160" t="s">
        <v>319</v>
      </c>
      <c r="B160" s="1" t="s">
        <v>320</v>
      </c>
      <c r="C160" t="s">
        <v>18</v>
      </c>
      <c r="D160" t="s">
        <v>13</v>
      </c>
      <c r="E160" t="s">
        <v>20</v>
      </c>
      <c r="F160" t="s">
        <v>21</v>
      </c>
      <c r="G160" s="2">
        <v>2</v>
      </c>
      <c r="H160" s="3">
        <v>1168</v>
      </c>
      <c r="I160" s="3">
        <v>799</v>
      </c>
      <c r="J160" s="3">
        <v>369</v>
      </c>
      <c r="K160" s="3" t="str">
        <f>TEXT(Sales_Clean_Data[[#This Row],[Order_Date]],"mmm")</f>
        <v>Oct</v>
      </c>
    </row>
    <row r="161" spans="1:11" x14ac:dyDescent="0.25">
      <c r="A161" t="s">
        <v>321</v>
      </c>
      <c r="B161" s="1" t="s">
        <v>176</v>
      </c>
      <c r="C161" t="s">
        <v>24</v>
      </c>
      <c r="D161" t="s">
        <v>32</v>
      </c>
      <c r="E161" t="s">
        <v>29</v>
      </c>
      <c r="F161" t="s">
        <v>15</v>
      </c>
      <c r="G161" s="2">
        <v>4</v>
      </c>
      <c r="H161" s="3">
        <v>1844</v>
      </c>
      <c r="I161" s="3">
        <v>1120</v>
      </c>
      <c r="J161" s="3">
        <v>724</v>
      </c>
      <c r="K161" s="3" t="str">
        <f>TEXT(Sales_Clean_Data[[#This Row],[Order_Date]],"mmm")</f>
        <v>Apr</v>
      </c>
    </row>
    <row r="162" spans="1:11" x14ac:dyDescent="0.25">
      <c r="A162" t="s">
        <v>322</v>
      </c>
      <c r="B162" s="1" t="s">
        <v>323</v>
      </c>
      <c r="C162" t="s">
        <v>18</v>
      </c>
      <c r="D162" t="s">
        <v>37</v>
      </c>
      <c r="E162" t="s">
        <v>20</v>
      </c>
      <c r="F162" t="s">
        <v>21</v>
      </c>
      <c r="G162" s="2">
        <v>3</v>
      </c>
      <c r="H162" s="3">
        <v>1185</v>
      </c>
      <c r="I162" s="3">
        <v>865</v>
      </c>
      <c r="J162" s="3">
        <v>320</v>
      </c>
      <c r="K162" s="3" t="str">
        <f>TEXT(Sales_Clean_Data[[#This Row],[Order_Date]],"mmm")</f>
        <v>Feb</v>
      </c>
    </row>
    <row r="163" spans="1:11" x14ac:dyDescent="0.25">
      <c r="A163" t="s">
        <v>324</v>
      </c>
      <c r="B163" s="1" t="s">
        <v>325</v>
      </c>
      <c r="C163" t="s">
        <v>27</v>
      </c>
      <c r="D163" t="s">
        <v>19</v>
      </c>
      <c r="E163" t="s">
        <v>71</v>
      </c>
      <c r="F163" t="s">
        <v>21</v>
      </c>
      <c r="G163" s="2">
        <v>5</v>
      </c>
      <c r="H163" s="3">
        <v>620</v>
      </c>
      <c r="I163" s="3">
        <v>382</v>
      </c>
      <c r="J163" s="3">
        <v>238</v>
      </c>
      <c r="K163" s="3" t="str">
        <f>TEXT(Sales_Clean_Data[[#This Row],[Order_Date]],"mmm")</f>
        <v>May</v>
      </c>
    </row>
    <row r="164" spans="1:11" x14ac:dyDescent="0.25">
      <c r="A164" t="s">
        <v>326</v>
      </c>
      <c r="B164" s="1" t="s">
        <v>259</v>
      </c>
      <c r="C164" t="s">
        <v>18</v>
      </c>
      <c r="D164" t="s">
        <v>19</v>
      </c>
      <c r="E164" t="s">
        <v>71</v>
      </c>
      <c r="F164" t="s">
        <v>21</v>
      </c>
      <c r="G164" s="2">
        <v>2</v>
      </c>
      <c r="H164" s="3">
        <v>1024</v>
      </c>
      <c r="I164" s="3">
        <v>794</v>
      </c>
      <c r="J164" s="3">
        <v>230</v>
      </c>
      <c r="K164" s="3" t="str">
        <f>TEXT(Sales_Clean_Data[[#This Row],[Order_Date]],"mmm")</f>
        <v>Jul</v>
      </c>
    </row>
    <row r="165" spans="1:11" x14ac:dyDescent="0.25">
      <c r="A165" t="s">
        <v>327</v>
      </c>
      <c r="B165" s="1" t="s">
        <v>328</v>
      </c>
      <c r="C165" t="s">
        <v>18</v>
      </c>
      <c r="D165" t="s">
        <v>32</v>
      </c>
      <c r="E165" t="s">
        <v>58</v>
      </c>
      <c r="F165" t="s">
        <v>15</v>
      </c>
      <c r="G165" s="2">
        <v>5</v>
      </c>
      <c r="H165" s="3">
        <v>3795</v>
      </c>
      <c r="I165" s="3">
        <v>2914</v>
      </c>
      <c r="J165" s="3">
        <v>881</v>
      </c>
      <c r="K165" s="3" t="str">
        <f>TEXT(Sales_Clean_Data[[#This Row],[Order_Date]],"mmm")</f>
        <v>Nov</v>
      </c>
    </row>
    <row r="166" spans="1:11" x14ac:dyDescent="0.25">
      <c r="A166" t="s">
        <v>329</v>
      </c>
      <c r="B166" s="1" t="s">
        <v>330</v>
      </c>
      <c r="C166" t="s">
        <v>24</v>
      </c>
      <c r="D166" t="s">
        <v>32</v>
      </c>
      <c r="E166" t="s">
        <v>29</v>
      </c>
      <c r="F166" t="s">
        <v>15</v>
      </c>
      <c r="G166" s="2">
        <v>5</v>
      </c>
      <c r="H166" s="3">
        <v>3425</v>
      </c>
      <c r="I166" s="3">
        <v>2303</v>
      </c>
      <c r="J166" s="3">
        <v>1122</v>
      </c>
      <c r="K166" s="3" t="str">
        <f>TEXT(Sales_Clean_Data[[#This Row],[Order_Date]],"mmm")</f>
        <v>Nov</v>
      </c>
    </row>
    <row r="167" spans="1:11" x14ac:dyDescent="0.25">
      <c r="A167" t="s">
        <v>331</v>
      </c>
      <c r="B167" s="1" t="s">
        <v>209</v>
      </c>
      <c r="C167" t="s">
        <v>18</v>
      </c>
      <c r="D167" t="s">
        <v>28</v>
      </c>
      <c r="E167" t="s">
        <v>14</v>
      </c>
      <c r="F167" t="s">
        <v>15</v>
      </c>
      <c r="G167" s="2">
        <v>3</v>
      </c>
      <c r="H167" s="3">
        <v>405</v>
      </c>
      <c r="I167" s="3">
        <v>301</v>
      </c>
      <c r="J167" s="3">
        <v>104</v>
      </c>
      <c r="K167" s="3" t="str">
        <f>TEXT(Sales_Clean_Data[[#This Row],[Order_Date]],"mmm")</f>
        <v>Jun</v>
      </c>
    </row>
    <row r="168" spans="1:11" x14ac:dyDescent="0.25">
      <c r="A168" t="s">
        <v>332</v>
      </c>
      <c r="B168" s="1" t="s">
        <v>195</v>
      </c>
      <c r="C168" t="s">
        <v>18</v>
      </c>
      <c r="D168" t="s">
        <v>32</v>
      </c>
      <c r="E168" t="s">
        <v>29</v>
      </c>
      <c r="F168" t="s">
        <v>15</v>
      </c>
      <c r="G168" s="2">
        <v>5</v>
      </c>
      <c r="H168" s="3">
        <v>5830</v>
      </c>
      <c r="I168" s="3">
        <v>3742</v>
      </c>
      <c r="J168" s="3">
        <v>2088</v>
      </c>
      <c r="K168" s="3" t="str">
        <f>TEXT(Sales_Clean_Data[[#This Row],[Order_Date]],"mmm")</f>
        <v>May</v>
      </c>
    </row>
    <row r="169" spans="1:11" x14ac:dyDescent="0.25">
      <c r="A169" t="s">
        <v>333</v>
      </c>
      <c r="B169" s="1" t="s">
        <v>334</v>
      </c>
      <c r="C169" t="s">
        <v>18</v>
      </c>
      <c r="D169" t="s">
        <v>19</v>
      </c>
      <c r="E169" t="s">
        <v>58</v>
      </c>
      <c r="F169" t="s">
        <v>15</v>
      </c>
      <c r="G169" s="2">
        <v>2</v>
      </c>
      <c r="H169" s="3">
        <v>2176</v>
      </c>
      <c r="I169" s="3">
        <v>1317</v>
      </c>
      <c r="J169" s="3">
        <v>859</v>
      </c>
      <c r="K169" s="3" t="str">
        <f>TEXT(Sales_Clean_Data[[#This Row],[Order_Date]],"mmm")</f>
        <v>Apr</v>
      </c>
    </row>
    <row r="170" spans="1:11" x14ac:dyDescent="0.25">
      <c r="A170" t="s">
        <v>335</v>
      </c>
      <c r="B170" s="1" t="s">
        <v>336</v>
      </c>
      <c r="C170" t="s">
        <v>27</v>
      </c>
      <c r="D170" t="s">
        <v>13</v>
      </c>
      <c r="E170" t="s">
        <v>38</v>
      </c>
      <c r="F170" t="s">
        <v>21</v>
      </c>
      <c r="G170" s="2">
        <v>5</v>
      </c>
      <c r="H170" s="3">
        <v>650</v>
      </c>
      <c r="I170" s="3">
        <v>436</v>
      </c>
      <c r="J170" s="3">
        <v>214</v>
      </c>
      <c r="K170" s="3" t="str">
        <f>TEXT(Sales_Clean_Data[[#This Row],[Order_Date]],"mmm")</f>
        <v>May</v>
      </c>
    </row>
    <row r="171" spans="1:11" x14ac:dyDescent="0.25">
      <c r="A171" t="s">
        <v>337</v>
      </c>
      <c r="B171" s="1" t="s">
        <v>338</v>
      </c>
      <c r="C171" t="s">
        <v>24</v>
      </c>
      <c r="D171" t="s">
        <v>32</v>
      </c>
      <c r="E171" t="s">
        <v>38</v>
      </c>
      <c r="F171" t="s">
        <v>21</v>
      </c>
      <c r="G171" s="2">
        <v>2</v>
      </c>
      <c r="H171" s="3">
        <v>774</v>
      </c>
      <c r="I171" s="3">
        <v>558</v>
      </c>
      <c r="J171" s="3">
        <v>216</v>
      </c>
      <c r="K171" s="3" t="str">
        <f>TEXT(Sales_Clean_Data[[#This Row],[Order_Date]],"mmm")</f>
        <v>Nov</v>
      </c>
    </row>
    <row r="172" spans="1:11" x14ac:dyDescent="0.25">
      <c r="A172" t="s">
        <v>339</v>
      </c>
      <c r="B172" s="1" t="s">
        <v>340</v>
      </c>
      <c r="C172" t="s">
        <v>24</v>
      </c>
      <c r="D172" t="s">
        <v>19</v>
      </c>
      <c r="E172" t="s">
        <v>20</v>
      </c>
      <c r="F172" t="s">
        <v>21</v>
      </c>
      <c r="G172" s="2">
        <v>1</v>
      </c>
      <c r="H172" s="3">
        <v>727</v>
      </c>
      <c r="I172" s="3">
        <v>510</v>
      </c>
      <c r="J172" s="3">
        <v>217</v>
      </c>
      <c r="K172" s="3" t="str">
        <f>TEXT(Sales_Clean_Data[[#This Row],[Order_Date]],"mmm")</f>
        <v>Feb</v>
      </c>
    </row>
    <row r="173" spans="1:11" x14ac:dyDescent="0.25">
      <c r="A173" t="s">
        <v>341</v>
      </c>
      <c r="B173" s="1" t="s">
        <v>340</v>
      </c>
      <c r="C173" t="s">
        <v>24</v>
      </c>
      <c r="D173" t="s">
        <v>37</v>
      </c>
      <c r="E173" t="s">
        <v>14</v>
      </c>
      <c r="F173" t="s">
        <v>15</v>
      </c>
      <c r="G173" s="2">
        <v>3</v>
      </c>
      <c r="H173" s="3">
        <v>3030</v>
      </c>
      <c r="I173" s="3">
        <v>2039</v>
      </c>
      <c r="J173" s="3">
        <v>991</v>
      </c>
      <c r="K173" s="3" t="str">
        <f>TEXT(Sales_Clean_Data[[#This Row],[Order_Date]],"mmm")</f>
        <v>Feb</v>
      </c>
    </row>
    <row r="174" spans="1:11" x14ac:dyDescent="0.25">
      <c r="A174" t="s">
        <v>342</v>
      </c>
      <c r="B174" s="1" t="s">
        <v>343</v>
      </c>
      <c r="C174" t="s">
        <v>27</v>
      </c>
      <c r="D174" t="s">
        <v>13</v>
      </c>
      <c r="E174" t="s">
        <v>14</v>
      </c>
      <c r="F174" t="s">
        <v>15</v>
      </c>
      <c r="G174" s="2">
        <v>1</v>
      </c>
      <c r="H174" s="3">
        <v>305</v>
      </c>
      <c r="I174" s="3">
        <v>209</v>
      </c>
      <c r="J174" s="3">
        <v>96</v>
      </c>
      <c r="K174" s="3" t="str">
        <f>TEXT(Sales_Clean_Data[[#This Row],[Order_Date]],"mmm")</f>
        <v>May</v>
      </c>
    </row>
    <row r="175" spans="1:11" x14ac:dyDescent="0.25">
      <c r="A175" t="s">
        <v>344</v>
      </c>
      <c r="B175" s="1" t="s">
        <v>345</v>
      </c>
      <c r="C175" t="s">
        <v>12</v>
      </c>
      <c r="D175" t="s">
        <v>13</v>
      </c>
      <c r="E175" t="s">
        <v>71</v>
      </c>
      <c r="F175" t="s">
        <v>21</v>
      </c>
      <c r="G175" s="2">
        <v>2</v>
      </c>
      <c r="H175" s="3">
        <v>1012</v>
      </c>
      <c r="I175" s="3">
        <v>776</v>
      </c>
      <c r="J175" s="3">
        <v>236</v>
      </c>
      <c r="K175" s="3" t="str">
        <f>TEXT(Sales_Clean_Data[[#This Row],[Order_Date]],"mmm")</f>
        <v>Jul</v>
      </c>
    </row>
    <row r="176" spans="1:11" x14ac:dyDescent="0.25">
      <c r="A176" t="s">
        <v>346</v>
      </c>
      <c r="B176" s="1" t="s">
        <v>113</v>
      </c>
      <c r="C176" t="s">
        <v>24</v>
      </c>
      <c r="D176" t="s">
        <v>37</v>
      </c>
      <c r="E176" t="s">
        <v>20</v>
      </c>
      <c r="F176" t="s">
        <v>21</v>
      </c>
      <c r="G176" s="2">
        <v>3</v>
      </c>
      <c r="H176" s="3">
        <v>2028</v>
      </c>
      <c r="I176" s="3">
        <v>1592</v>
      </c>
      <c r="J176" s="3">
        <v>436</v>
      </c>
      <c r="K176" s="3" t="str">
        <f>TEXT(Sales_Clean_Data[[#This Row],[Order_Date]],"mmm")</f>
        <v>Aug</v>
      </c>
    </row>
    <row r="177" spans="1:11" x14ac:dyDescent="0.25">
      <c r="A177" t="s">
        <v>347</v>
      </c>
      <c r="B177" s="1" t="s">
        <v>85</v>
      </c>
      <c r="C177" t="s">
        <v>18</v>
      </c>
      <c r="D177" t="s">
        <v>28</v>
      </c>
      <c r="E177" t="s">
        <v>29</v>
      </c>
      <c r="F177" t="s">
        <v>15</v>
      </c>
      <c r="G177" s="2">
        <v>3</v>
      </c>
      <c r="H177" s="3">
        <v>684</v>
      </c>
      <c r="I177" s="3">
        <v>413</v>
      </c>
      <c r="J177" s="3">
        <v>271</v>
      </c>
      <c r="K177" s="3" t="str">
        <f>TEXT(Sales_Clean_Data[[#This Row],[Order_Date]],"mmm")</f>
        <v>Nov</v>
      </c>
    </row>
    <row r="178" spans="1:11" x14ac:dyDescent="0.25">
      <c r="A178" t="s">
        <v>348</v>
      </c>
      <c r="B178" s="1" t="s">
        <v>203</v>
      </c>
      <c r="C178" t="s">
        <v>18</v>
      </c>
      <c r="D178" t="s">
        <v>19</v>
      </c>
      <c r="E178" t="s">
        <v>58</v>
      </c>
      <c r="F178" t="s">
        <v>15</v>
      </c>
      <c r="G178" s="2">
        <v>4</v>
      </c>
      <c r="H178" s="3">
        <v>2392</v>
      </c>
      <c r="I178" s="3">
        <v>1444</v>
      </c>
      <c r="J178" s="3">
        <v>948</v>
      </c>
      <c r="K178" s="3" t="str">
        <f>TEXT(Sales_Clean_Data[[#This Row],[Order_Date]],"mmm")</f>
        <v>Mar</v>
      </c>
    </row>
    <row r="179" spans="1:11" x14ac:dyDescent="0.25">
      <c r="A179" t="s">
        <v>349</v>
      </c>
      <c r="B179" s="1" t="s">
        <v>105</v>
      </c>
      <c r="C179" t="s">
        <v>18</v>
      </c>
      <c r="D179" t="s">
        <v>47</v>
      </c>
      <c r="E179" t="s">
        <v>58</v>
      </c>
      <c r="F179" t="s">
        <v>15</v>
      </c>
      <c r="G179" s="2">
        <v>5</v>
      </c>
      <c r="H179" s="3">
        <v>3075</v>
      </c>
      <c r="I179" s="3">
        <v>2428</v>
      </c>
      <c r="J179" s="3">
        <v>647</v>
      </c>
      <c r="K179" s="3" t="str">
        <f>TEXT(Sales_Clean_Data[[#This Row],[Order_Date]],"mmm")</f>
        <v>Jul</v>
      </c>
    </row>
    <row r="180" spans="1:11" x14ac:dyDescent="0.25">
      <c r="A180" t="s">
        <v>350</v>
      </c>
      <c r="B180" s="1" t="s">
        <v>351</v>
      </c>
      <c r="C180" t="s">
        <v>18</v>
      </c>
      <c r="D180" t="s">
        <v>37</v>
      </c>
      <c r="E180" t="s">
        <v>58</v>
      </c>
      <c r="F180" t="s">
        <v>15</v>
      </c>
      <c r="G180" s="2">
        <v>5</v>
      </c>
      <c r="H180" s="3">
        <v>3150</v>
      </c>
      <c r="I180" s="3">
        <v>1903</v>
      </c>
      <c r="J180" s="3">
        <v>1247</v>
      </c>
      <c r="K180" s="3" t="str">
        <f>TEXT(Sales_Clean_Data[[#This Row],[Order_Date]],"mmm")</f>
        <v>Jul</v>
      </c>
    </row>
    <row r="181" spans="1:11" x14ac:dyDescent="0.25">
      <c r="A181" t="s">
        <v>352</v>
      </c>
      <c r="B181" s="1" t="s">
        <v>23</v>
      </c>
      <c r="C181" t="s">
        <v>27</v>
      </c>
      <c r="D181" t="s">
        <v>47</v>
      </c>
      <c r="E181" t="s">
        <v>29</v>
      </c>
      <c r="F181" t="s">
        <v>15</v>
      </c>
      <c r="G181" s="2">
        <v>1</v>
      </c>
      <c r="H181" s="3">
        <v>146</v>
      </c>
      <c r="I181" s="3">
        <v>95</v>
      </c>
      <c r="J181" s="3">
        <v>51</v>
      </c>
      <c r="K181" s="3" t="str">
        <f>TEXT(Sales_Clean_Data[[#This Row],[Order_Date]],"mmm")</f>
        <v>Dec</v>
      </c>
    </row>
    <row r="182" spans="1:11" x14ac:dyDescent="0.25">
      <c r="A182" t="s">
        <v>353</v>
      </c>
      <c r="B182" s="1" t="s">
        <v>354</v>
      </c>
      <c r="C182" t="s">
        <v>27</v>
      </c>
      <c r="D182" t="s">
        <v>37</v>
      </c>
      <c r="E182" t="s">
        <v>14</v>
      </c>
      <c r="F182" t="s">
        <v>15</v>
      </c>
      <c r="G182" s="2">
        <v>5</v>
      </c>
      <c r="H182" s="3">
        <v>1050</v>
      </c>
      <c r="I182" s="3">
        <v>804</v>
      </c>
      <c r="J182" s="3">
        <v>246</v>
      </c>
      <c r="K182" s="3" t="str">
        <f>TEXT(Sales_Clean_Data[[#This Row],[Order_Date]],"mmm")</f>
        <v>Aug</v>
      </c>
    </row>
    <row r="183" spans="1:11" x14ac:dyDescent="0.25">
      <c r="A183" t="s">
        <v>355</v>
      </c>
      <c r="B183" s="1" t="s">
        <v>356</v>
      </c>
      <c r="C183" t="s">
        <v>24</v>
      </c>
      <c r="D183" t="s">
        <v>13</v>
      </c>
      <c r="E183" t="s">
        <v>38</v>
      </c>
      <c r="F183" t="s">
        <v>21</v>
      </c>
      <c r="G183" s="2">
        <v>5</v>
      </c>
      <c r="H183" s="3">
        <v>4705</v>
      </c>
      <c r="I183" s="3">
        <v>3038</v>
      </c>
      <c r="J183" s="3">
        <v>1667</v>
      </c>
      <c r="K183" s="3" t="str">
        <f>TEXT(Sales_Clean_Data[[#This Row],[Order_Date]],"mmm")</f>
        <v>Sep</v>
      </c>
    </row>
    <row r="184" spans="1:11" x14ac:dyDescent="0.25">
      <c r="A184" t="s">
        <v>357</v>
      </c>
      <c r="B184" s="1" t="s">
        <v>358</v>
      </c>
      <c r="C184" t="s">
        <v>12</v>
      </c>
      <c r="D184" t="s">
        <v>13</v>
      </c>
      <c r="E184" t="s">
        <v>29</v>
      </c>
      <c r="F184" t="s">
        <v>15</v>
      </c>
      <c r="G184" s="2">
        <v>1</v>
      </c>
      <c r="H184" s="3">
        <v>947</v>
      </c>
      <c r="I184" s="3">
        <v>640</v>
      </c>
      <c r="J184" s="3">
        <v>307</v>
      </c>
      <c r="K184" s="3" t="str">
        <f>TEXT(Sales_Clean_Data[[#This Row],[Order_Date]],"mmm")</f>
        <v>Jul</v>
      </c>
    </row>
    <row r="185" spans="1:11" x14ac:dyDescent="0.25">
      <c r="A185" t="s">
        <v>359</v>
      </c>
      <c r="B185" s="1" t="s">
        <v>360</v>
      </c>
      <c r="C185" t="s">
        <v>27</v>
      </c>
      <c r="D185" t="s">
        <v>13</v>
      </c>
      <c r="E185" t="s">
        <v>29</v>
      </c>
      <c r="F185" t="s">
        <v>15</v>
      </c>
      <c r="G185" s="2">
        <v>3</v>
      </c>
      <c r="H185" s="3">
        <v>738</v>
      </c>
      <c r="I185" s="3">
        <v>460</v>
      </c>
      <c r="J185" s="3">
        <v>278</v>
      </c>
      <c r="K185" s="3" t="str">
        <f>TEXT(Sales_Clean_Data[[#This Row],[Order_Date]],"mmm")</f>
        <v>Mar</v>
      </c>
    </row>
    <row r="186" spans="1:11" x14ac:dyDescent="0.25">
      <c r="A186" t="s">
        <v>361</v>
      </c>
      <c r="B186" s="1" t="s">
        <v>362</v>
      </c>
      <c r="C186" t="s">
        <v>27</v>
      </c>
      <c r="D186" t="s">
        <v>19</v>
      </c>
      <c r="E186" t="s">
        <v>58</v>
      </c>
      <c r="F186" t="s">
        <v>15</v>
      </c>
      <c r="G186" s="2">
        <v>2</v>
      </c>
      <c r="H186" s="3">
        <v>2266</v>
      </c>
      <c r="I186" s="3">
        <v>1417</v>
      </c>
      <c r="J186" s="3">
        <v>849</v>
      </c>
      <c r="K186" s="3" t="str">
        <f>TEXT(Sales_Clean_Data[[#This Row],[Order_Date]],"mmm")</f>
        <v>Jan</v>
      </c>
    </row>
    <row r="187" spans="1:11" x14ac:dyDescent="0.25">
      <c r="A187" t="s">
        <v>363</v>
      </c>
      <c r="B187" s="1" t="s">
        <v>109</v>
      </c>
      <c r="C187" t="s">
        <v>12</v>
      </c>
      <c r="D187" t="s">
        <v>19</v>
      </c>
      <c r="E187" t="s">
        <v>38</v>
      </c>
      <c r="F187" t="s">
        <v>21</v>
      </c>
      <c r="G187" s="2">
        <v>1</v>
      </c>
      <c r="H187" s="3">
        <v>917</v>
      </c>
      <c r="I187" s="3">
        <v>698</v>
      </c>
      <c r="J187" s="3">
        <v>219</v>
      </c>
      <c r="K187" s="3" t="str">
        <f>TEXT(Sales_Clean_Data[[#This Row],[Order_Date]],"mmm")</f>
        <v>Nov</v>
      </c>
    </row>
    <row r="188" spans="1:11" x14ac:dyDescent="0.25">
      <c r="A188" t="s">
        <v>364</v>
      </c>
      <c r="B188" s="1" t="s">
        <v>97</v>
      </c>
      <c r="C188" t="s">
        <v>24</v>
      </c>
      <c r="D188" t="s">
        <v>37</v>
      </c>
      <c r="E188" t="s">
        <v>20</v>
      </c>
      <c r="F188" t="s">
        <v>21</v>
      </c>
      <c r="G188" s="2">
        <v>4</v>
      </c>
      <c r="H188" s="3">
        <v>544</v>
      </c>
      <c r="I188" s="3">
        <v>368</v>
      </c>
      <c r="J188" s="3">
        <v>176</v>
      </c>
      <c r="K188" s="3" t="str">
        <f>TEXT(Sales_Clean_Data[[#This Row],[Order_Date]],"mmm")</f>
        <v>May</v>
      </c>
    </row>
    <row r="189" spans="1:11" x14ac:dyDescent="0.25">
      <c r="A189" t="s">
        <v>365</v>
      </c>
      <c r="B189" s="1" t="s">
        <v>366</v>
      </c>
      <c r="C189" t="s">
        <v>12</v>
      </c>
      <c r="D189" t="s">
        <v>47</v>
      </c>
      <c r="E189" t="s">
        <v>58</v>
      </c>
      <c r="F189" t="s">
        <v>15</v>
      </c>
      <c r="G189" s="2">
        <v>1</v>
      </c>
      <c r="H189" s="3">
        <v>586</v>
      </c>
      <c r="I189" s="3">
        <v>382</v>
      </c>
      <c r="J189" s="3">
        <v>204</v>
      </c>
      <c r="K189" s="3" t="str">
        <f>TEXT(Sales_Clean_Data[[#This Row],[Order_Date]],"mmm")</f>
        <v>Sep</v>
      </c>
    </row>
    <row r="190" spans="1:11" x14ac:dyDescent="0.25">
      <c r="A190" t="s">
        <v>367</v>
      </c>
      <c r="B190" s="1" t="s">
        <v>368</v>
      </c>
      <c r="C190" t="s">
        <v>24</v>
      </c>
      <c r="D190" t="s">
        <v>47</v>
      </c>
      <c r="E190" t="s">
        <v>38</v>
      </c>
      <c r="F190" t="s">
        <v>21</v>
      </c>
      <c r="G190" s="2">
        <v>3</v>
      </c>
      <c r="H190" s="3">
        <v>2178</v>
      </c>
      <c r="I190" s="3">
        <v>1522</v>
      </c>
      <c r="J190" s="3">
        <v>656</v>
      </c>
      <c r="K190" s="3" t="str">
        <f>TEXT(Sales_Clean_Data[[#This Row],[Order_Date]],"mmm")</f>
        <v>May</v>
      </c>
    </row>
    <row r="191" spans="1:11" x14ac:dyDescent="0.25">
      <c r="A191" t="s">
        <v>369</v>
      </c>
      <c r="B191" s="1" t="s">
        <v>105</v>
      </c>
      <c r="C191" t="s">
        <v>12</v>
      </c>
      <c r="D191" t="s">
        <v>28</v>
      </c>
      <c r="E191" t="s">
        <v>38</v>
      </c>
      <c r="F191" t="s">
        <v>21</v>
      </c>
      <c r="G191" s="2">
        <v>3</v>
      </c>
      <c r="H191" s="3">
        <v>1437</v>
      </c>
      <c r="I191" s="3">
        <v>926</v>
      </c>
      <c r="J191" s="3">
        <v>511</v>
      </c>
      <c r="K191" s="3" t="str">
        <f>TEXT(Sales_Clean_Data[[#This Row],[Order_Date]],"mmm")</f>
        <v>Jul</v>
      </c>
    </row>
    <row r="192" spans="1:11" x14ac:dyDescent="0.25">
      <c r="A192" t="s">
        <v>370</v>
      </c>
      <c r="B192" s="1" t="s">
        <v>371</v>
      </c>
      <c r="C192" t="s">
        <v>12</v>
      </c>
      <c r="D192" t="s">
        <v>32</v>
      </c>
      <c r="E192" t="s">
        <v>14</v>
      </c>
      <c r="F192" t="s">
        <v>15</v>
      </c>
      <c r="G192" s="2">
        <v>5</v>
      </c>
      <c r="H192" s="3">
        <v>5130</v>
      </c>
      <c r="I192" s="3">
        <v>3194</v>
      </c>
      <c r="J192" s="3">
        <v>1936</v>
      </c>
      <c r="K192" s="3" t="str">
        <f>TEXT(Sales_Clean_Data[[#This Row],[Order_Date]],"mmm")</f>
        <v>May</v>
      </c>
    </row>
    <row r="193" spans="1:11" x14ac:dyDescent="0.25">
      <c r="A193" t="s">
        <v>372</v>
      </c>
      <c r="B193" s="1" t="s">
        <v>240</v>
      </c>
      <c r="C193" t="s">
        <v>24</v>
      </c>
      <c r="D193" t="s">
        <v>28</v>
      </c>
      <c r="E193" t="s">
        <v>20</v>
      </c>
      <c r="F193" t="s">
        <v>21</v>
      </c>
      <c r="G193" s="2">
        <v>4</v>
      </c>
      <c r="H193" s="3">
        <v>2124</v>
      </c>
      <c r="I193" s="3">
        <v>1340</v>
      </c>
      <c r="J193" s="3">
        <v>784</v>
      </c>
      <c r="K193" s="3" t="str">
        <f>TEXT(Sales_Clean_Data[[#This Row],[Order_Date]],"mmm")</f>
        <v>Oct</v>
      </c>
    </row>
    <row r="194" spans="1:11" x14ac:dyDescent="0.25">
      <c r="A194" t="s">
        <v>373</v>
      </c>
      <c r="B194" s="1" t="s">
        <v>374</v>
      </c>
      <c r="C194" t="s">
        <v>24</v>
      </c>
      <c r="D194" t="s">
        <v>28</v>
      </c>
      <c r="E194" t="s">
        <v>20</v>
      </c>
      <c r="F194" t="s">
        <v>21</v>
      </c>
      <c r="G194" s="2">
        <v>3</v>
      </c>
      <c r="H194" s="3">
        <v>1305</v>
      </c>
      <c r="I194" s="3">
        <v>904</v>
      </c>
      <c r="J194" s="3">
        <v>401</v>
      </c>
      <c r="K194" s="3" t="str">
        <f>TEXT(Sales_Clean_Data[[#This Row],[Order_Date]],"mmm")</f>
        <v>Feb</v>
      </c>
    </row>
    <row r="195" spans="1:11" x14ac:dyDescent="0.25">
      <c r="A195" t="s">
        <v>375</v>
      </c>
      <c r="B195" s="1" t="s">
        <v>376</v>
      </c>
      <c r="C195" t="s">
        <v>24</v>
      </c>
      <c r="D195" t="s">
        <v>28</v>
      </c>
      <c r="E195" t="s">
        <v>14</v>
      </c>
      <c r="F195" t="s">
        <v>15</v>
      </c>
      <c r="G195" s="2">
        <v>2</v>
      </c>
      <c r="H195" s="3">
        <v>2250</v>
      </c>
      <c r="I195" s="3">
        <v>1692</v>
      </c>
      <c r="J195" s="3">
        <v>558</v>
      </c>
      <c r="K195" s="3" t="str">
        <f>TEXT(Sales_Clean_Data[[#This Row],[Order_Date]],"mmm")</f>
        <v>Jan</v>
      </c>
    </row>
    <row r="196" spans="1:11" x14ac:dyDescent="0.25">
      <c r="A196" t="s">
        <v>377</v>
      </c>
      <c r="B196" s="1" t="s">
        <v>142</v>
      </c>
      <c r="C196" t="s">
        <v>24</v>
      </c>
      <c r="D196" t="s">
        <v>19</v>
      </c>
      <c r="E196" t="s">
        <v>20</v>
      </c>
      <c r="F196" t="s">
        <v>21</v>
      </c>
      <c r="G196" s="2">
        <v>3</v>
      </c>
      <c r="H196" s="3">
        <v>1923</v>
      </c>
      <c r="I196" s="3">
        <v>1436</v>
      </c>
      <c r="J196" s="3">
        <v>487</v>
      </c>
      <c r="K196" s="3" t="str">
        <f>TEXT(Sales_Clean_Data[[#This Row],[Order_Date]],"mmm")</f>
        <v>Dec</v>
      </c>
    </row>
    <row r="197" spans="1:11" x14ac:dyDescent="0.25">
      <c r="A197" t="s">
        <v>378</v>
      </c>
      <c r="B197" s="1" t="s">
        <v>379</v>
      </c>
      <c r="C197" t="s">
        <v>24</v>
      </c>
      <c r="D197" t="s">
        <v>32</v>
      </c>
      <c r="E197" t="s">
        <v>38</v>
      </c>
      <c r="F197" t="s">
        <v>21</v>
      </c>
      <c r="G197" s="2">
        <v>5</v>
      </c>
      <c r="H197" s="3">
        <v>1835</v>
      </c>
      <c r="I197" s="3">
        <v>1448</v>
      </c>
      <c r="J197" s="3">
        <v>387</v>
      </c>
      <c r="K197" s="3" t="str">
        <f>TEXT(Sales_Clean_Data[[#This Row],[Order_Date]],"mmm")</f>
        <v>Oct</v>
      </c>
    </row>
    <row r="198" spans="1:11" x14ac:dyDescent="0.25">
      <c r="A198" t="s">
        <v>380</v>
      </c>
      <c r="B198" s="1" t="s">
        <v>73</v>
      </c>
      <c r="C198" t="s">
        <v>27</v>
      </c>
      <c r="D198" t="s">
        <v>28</v>
      </c>
      <c r="E198" t="s">
        <v>71</v>
      </c>
      <c r="F198" t="s">
        <v>21</v>
      </c>
      <c r="G198" s="2">
        <v>1</v>
      </c>
      <c r="H198" s="3">
        <v>107</v>
      </c>
      <c r="I198" s="3">
        <v>81</v>
      </c>
      <c r="J198" s="3">
        <v>26</v>
      </c>
      <c r="K198" s="3" t="str">
        <f>TEXT(Sales_Clean_Data[[#This Row],[Order_Date]],"mmm")</f>
        <v>Aug</v>
      </c>
    </row>
    <row r="199" spans="1:11" x14ac:dyDescent="0.25">
      <c r="A199" t="s">
        <v>381</v>
      </c>
      <c r="B199" s="1" t="s">
        <v>154</v>
      </c>
      <c r="C199" t="s">
        <v>12</v>
      </c>
      <c r="D199" t="s">
        <v>19</v>
      </c>
      <c r="E199" t="s">
        <v>29</v>
      </c>
      <c r="F199" t="s">
        <v>15</v>
      </c>
      <c r="G199" s="2">
        <v>3</v>
      </c>
      <c r="H199" s="3">
        <v>1086</v>
      </c>
      <c r="I199" s="3">
        <v>845</v>
      </c>
      <c r="J199" s="3">
        <v>241</v>
      </c>
      <c r="K199" s="3" t="str">
        <f>TEXT(Sales_Clean_Data[[#This Row],[Order_Date]],"mmm")</f>
        <v>Jun</v>
      </c>
    </row>
    <row r="200" spans="1:11" x14ac:dyDescent="0.25">
      <c r="A200" t="s">
        <v>382</v>
      </c>
      <c r="B200" s="1" t="s">
        <v>383</v>
      </c>
      <c r="C200" t="s">
        <v>18</v>
      </c>
      <c r="D200" t="s">
        <v>19</v>
      </c>
      <c r="E200" t="s">
        <v>20</v>
      </c>
      <c r="F200" t="s">
        <v>21</v>
      </c>
      <c r="G200" s="2">
        <v>1</v>
      </c>
      <c r="H200" s="3">
        <v>377</v>
      </c>
      <c r="I200" s="3">
        <v>241</v>
      </c>
      <c r="J200" s="3">
        <v>136</v>
      </c>
      <c r="K200" s="3" t="str">
        <f>TEXT(Sales_Clean_Data[[#This Row],[Order_Date]],"mmm")</f>
        <v>Aug</v>
      </c>
    </row>
    <row r="201" spans="1:11" x14ac:dyDescent="0.25">
      <c r="A201" t="s">
        <v>384</v>
      </c>
      <c r="B201" s="1" t="s">
        <v>117</v>
      </c>
      <c r="C201" t="s">
        <v>27</v>
      </c>
      <c r="D201" t="s">
        <v>32</v>
      </c>
      <c r="E201" t="s">
        <v>20</v>
      </c>
      <c r="F201" t="s">
        <v>21</v>
      </c>
      <c r="G201" s="2">
        <v>4</v>
      </c>
      <c r="H201" s="3">
        <v>1984</v>
      </c>
      <c r="I201" s="3">
        <v>1549</v>
      </c>
      <c r="J201" s="3">
        <v>435</v>
      </c>
      <c r="K201" s="3" t="str">
        <f>TEXT(Sales_Clean_Data[[#This Row],[Order_Date]],"mmm")</f>
        <v>Jul</v>
      </c>
    </row>
    <row r="202" spans="1:11" x14ac:dyDescent="0.25">
      <c r="A202" t="s">
        <v>385</v>
      </c>
      <c r="B202" s="1" t="s">
        <v>386</v>
      </c>
      <c r="C202" t="s">
        <v>27</v>
      </c>
      <c r="D202" t="s">
        <v>37</v>
      </c>
      <c r="E202" t="s">
        <v>20</v>
      </c>
      <c r="F202" t="s">
        <v>21</v>
      </c>
      <c r="G202" s="2">
        <v>1</v>
      </c>
      <c r="H202" s="3">
        <v>324</v>
      </c>
      <c r="I202" s="3">
        <v>216</v>
      </c>
      <c r="J202" s="3">
        <v>108</v>
      </c>
      <c r="K202" s="3" t="str">
        <f>TEXT(Sales_Clean_Data[[#This Row],[Order_Date]],"mmm")</f>
        <v>Jul</v>
      </c>
    </row>
    <row r="203" spans="1:11" x14ac:dyDescent="0.25">
      <c r="A203" t="s">
        <v>387</v>
      </c>
      <c r="B203" s="1" t="s">
        <v>388</v>
      </c>
      <c r="C203" t="s">
        <v>18</v>
      </c>
      <c r="D203" t="s">
        <v>37</v>
      </c>
      <c r="E203" t="s">
        <v>29</v>
      </c>
      <c r="F203" t="s">
        <v>15</v>
      </c>
      <c r="G203" s="2">
        <v>2</v>
      </c>
      <c r="H203" s="3">
        <v>1636</v>
      </c>
      <c r="I203" s="3">
        <v>1020</v>
      </c>
      <c r="J203" s="3">
        <v>616</v>
      </c>
      <c r="K203" s="3" t="str">
        <f>TEXT(Sales_Clean_Data[[#This Row],[Order_Date]],"mmm")</f>
        <v>Mar</v>
      </c>
    </row>
    <row r="204" spans="1:11" x14ac:dyDescent="0.25">
      <c r="A204" t="s">
        <v>389</v>
      </c>
      <c r="B204" s="1" t="s">
        <v>113</v>
      </c>
      <c r="C204" t="s">
        <v>27</v>
      </c>
      <c r="D204" t="s">
        <v>19</v>
      </c>
      <c r="E204" t="s">
        <v>58</v>
      </c>
      <c r="F204" t="s">
        <v>15</v>
      </c>
      <c r="G204" s="2">
        <v>1</v>
      </c>
      <c r="H204" s="3">
        <v>403</v>
      </c>
      <c r="I204" s="3">
        <v>290</v>
      </c>
      <c r="J204" s="3">
        <v>113</v>
      </c>
      <c r="K204" s="3" t="str">
        <f>TEXT(Sales_Clean_Data[[#This Row],[Order_Date]],"mmm")</f>
        <v>Aug</v>
      </c>
    </row>
    <row r="205" spans="1:11" x14ac:dyDescent="0.25">
      <c r="A205" t="s">
        <v>390</v>
      </c>
      <c r="B205" s="1" t="s">
        <v>391</v>
      </c>
      <c r="C205" t="s">
        <v>27</v>
      </c>
      <c r="D205" t="s">
        <v>47</v>
      </c>
      <c r="E205" t="s">
        <v>58</v>
      </c>
      <c r="F205" t="s">
        <v>15</v>
      </c>
      <c r="G205" s="2">
        <v>5</v>
      </c>
      <c r="H205" s="3">
        <v>1410</v>
      </c>
      <c r="I205" s="3">
        <v>942</v>
      </c>
      <c r="J205" s="3">
        <v>468</v>
      </c>
      <c r="K205" s="3" t="str">
        <f>TEXT(Sales_Clean_Data[[#This Row],[Order_Date]],"mmm")</f>
        <v>Mar</v>
      </c>
    </row>
    <row r="206" spans="1:11" x14ac:dyDescent="0.25">
      <c r="A206" t="s">
        <v>392</v>
      </c>
      <c r="B206" s="1" t="s">
        <v>393</v>
      </c>
      <c r="C206" t="s">
        <v>18</v>
      </c>
      <c r="D206" t="s">
        <v>19</v>
      </c>
      <c r="E206" t="s">
        <v>71</v>
      </c>
      <c r="F206" t="s">
        <v>21</v>
      </c>
      <c r="G206" s="2">
        <v>3</v>
      </c>
      <c r="H206" s="3">
        <v>1026</v>
      </c>
      <c r="I206" s="3">
        <v>642</v>
      </c>
      <c r="J206" s="3">
        <v>384</v>
      </c>
      <c r="K206" s="3" t="str">
        <f>TEXT(Sales_Clean_Data[[#This Row],[Order_Date]],"mmm")</f>
        <v>Oct</v>
      </c>
    </row>
    <row r="207" spans="1:11" x14ac:dyDescent="0.25">
      <c r="A207" t="s">
        <v>394</v>
      </c>
      <c r="B207" s="1" t="s">
        <v>252</v>
      </c>
      <c r="C207" t="s">
        <v>24</v>
      </c>
      <c r="D207" t="s">
        <v>32</v>
      </c>
      <c r="E207" t="s">
        <v>20</v>
      </c>
      <c r="F207" t="s">
        <v>21</v>
      </c>
      <c r="G207" s="2">
        <v>2</v>
      </c>
      <c r="H207" s="3">
        <v>1614</v>
      </c>
      <c r="I207" s="3">
        <v>1262</v>
      </c>
      <c r="J207" s="3">
        <v>352</v>
      </c>
      <c r="K207" s="3" t="str">
        <f>TEXT(Sales_Clean_Data[[#This Row],[Order_Date]],"mmm")</f>
        <v>Jan</v>
      </c>
    </row>
    <row r="208" spans="1:11" x14ac:dyDescent="0.25">
      <c r="A208" t="s">
        <v>395</v>
      </c>
      <c r="B208" s="1" t="s">
        <v>396</v>
      </c>
      <c r="C208" t="s">
        <v>24</v>
      </c>
      <c r="D208" t="s">
        <v>32</v>
      </c>
      <c r="E208" t="s">
        <v>71</v>
      </c>
      <c r="F208" t="s">
        <v>21</v>
      </c>
      <c r="G208" s="2">
        <v>1</v>
      </c>
      <c r="H208" s="3">
        <v>1182</v>
      </c>
      <c r="I208" s="3">
        <v>772</v>
      </c>
      <c r="J208" s="3">
        <v>410</v>
      </c>
      <c r="K208" s="3" t="str">
        <f>TEXT(Sales_Clean_Data[[#This Row],[Order_Date]],"mmm")</f>
        <v>Apr</v>
      </c>
    </row>
    <row r="209" spans="1:11" x14ac:dyDescent="0.25">
      <c r="A209" t="s">
        <v>397</v>
      </c>
      <c r="B209" s="1" t="s">
        <v>398</v>
      </c>
      <c r="C209" t="s">
        <v>18</v>
      </c>
      <c r="D209" t="s">
        <v>13</v>
      </c>
      <c r="E209" t="s">
        <v>29</v>
      </c>
      <c r="F209" t="s">
        <v>15</v>
      </c>
      <c r="G209" s="2">
        <v>4</v>
      </c>
      <c r="H209" s="3">
        <v>2460</v>
      </c>
      <c r="I209" s="3">
        <v>1833</v>
      </c>
      <c r="J209" s="3">
        <v>627</v>
      </c>
      <c r="K209" s="3" t="str">
        <f>TEXT(Sales_Clean_Data[[#This Row],[Order_Date]],"mmm")</f>
        <v>Nov</v>
      </c>
    </row>
    <row r="210" spans="1:11" x14ac:dyDescent="0.25">
      <c r="A210" t="s">
        <v>399</v>
      </c>
      <c r="B210" s="1" t="s">
        <v>400</v>
      </c>
      <c r="C210" t="s">
        <v>12</v>
      </c>
      <c r="D210" t="s">
        <v>47</v>
      </c>
      <c r="E210" t="s">
        <v>20</v>
      </c>
      <c r="F210" t="s">
        <v>21</v>
      </c>
      <c r="G210" s="2">
        <v>4</v>
      </c>
      <c r="H210" s="3">
        <v>2952</v>
      </c>
      <c r="I210" s="3">
        <v>2065</v>
      </c>
      <c r="J210" s="3">
        <v>887</v>
      </c>
      <c r="K210" s="3" t="str">
        <f>TEXT(Sales_Clean_Data[[#This Row],[Order_Date]],"mmm")</f>
        <v>Feb</v>
      </c>
    </row>
    <row r="211" spans="1:11" x14ac:dyDescent="0.25">
      <c r="A211" t="s">
        <v>401</v>
      </c>
      <c r="B211" s="1" t="s">
        <v>402</v>
      </c>
      <c r="C211" t="s">
        <v>24</v>
      </c>
      <c r="D211" t="s">
        <v>32</v>
      </c>
      <c r="E211" t="s">
        <v>29</v>
      </c>
      <c r="F211" t="s">
        <v>15</v>
      </c>
      <c r="G211" s="2">
        <v>5</v>
      </c>
      <c r="H211" s="3">
        <v>1125</v>
      </c>
      <c r="I211" s="3">
        <v>854</v>
      </c>
      <c r="J211" s="3">
        <v>271</v>
      </c>
      <c r="K211" s="3" t="str">
        <f>TEXT(Sales_Clean_Data[[#This Row],[Order_Date]],"mmm")</f>
        <v>Apr</v>
      </c>
    </row>
    <row r="212" spans="1:11" x14ac:dyDescent="0.25">
      <c r="A212" t="s">
        <v>403</v>
      </c>
      <c r="B212" s="1" t="s">
        <v>404</v>
      </c>
      <c r="C212" t="s">
        <v>12</v>
      </c>
      <c r="D212" t="s">
        <v>47</v>
      </c>
      <c r="E212" t="s">
        <v>20</v>
      </c>
      <c r="F212" t="s">
        <v>21</v>
      </c>
      <c r="G212" s="2">
        <v>5</v>
      </c>
      <c r="H212" s="3">
        <v>3020</v>
      </c>
      <c r="I212" s="3">
        <v>2007</v>
      </c>
      <c r="J212" s="3">
        <v>1013</v>
      </c>
      <c r="K212" s="3" t="str">
        <f>TEXT(Sales_Clean_Data[[#This Row],[Order_Date]],"mmm")</f>
        <v>Jul</v>
      </c>
    </row>
    <row r="213" spans="1:11" x14ac:dyDescent="0.25">
      <c r="A213" t="s">
        <v>405</v>
      </c>
      <c r="B213" s="1" t="s">
        <v>91</v>
      </c>
      <c r="C213" t="s">
        <v>24</v>
      </c>
      <c r="D213" t="s">
        <v>13</v>
      </c>
      <c r="E213" t="s">
        <v>71</v>
      </c>
      <c r="F213" t="s">
        <v>21</v>
      </c>
      <c r="G213" s="2">
        <v>3</v>
      </c>
      <c r="H213" s="3">
        <v>2127</v>
      </c>
      <c r="I213" s="3">
        <v>1668</v>
      </c>
      <c r="J213" s="3">
        <v>459</v>
      </c>
      <c r="K213" s="3" t="str">
        <f>TEXT(Sales_Clean_Data[[#This Row],[Order_Date]],"mmm")</f>
        <v>Jan</v>
      </c>
    </row>
    <row r="214" spans="1:11" x14ac:dyDescent="0.25">
      <c r="A214" t="s">
        <v>406</v>
      </c>
      <c r="B214" s="1" t="s">
        <v>338</v>
      </c>
      <c r="C214" t="s">
        <v>18</v>
      </c>
      <c r="D214" t="s">
        <v>32</v>
      </c>
      <c r="E214" t="s">
        <v>20</v>
      </c>
      <c r="F214" t="s">
        <v>21</v>
      </c>
      <c r="G214" s="2">
        <v>1</v>
      </c>
      <c r="H214" s="3">
        <v>800</v>
      </c>
      <c r="I214" s="3">
        <v>542</v>
      </c>
      <c r="J214" s="3">
        <v>258</v>
      </c>
      <c r="K214" s="3" t="str">
        <f>TEXT(Sales_Clean_Data[[#This Row],[Order_Date]],"mmm")</f>
        <v>Nov</v>
      </c>
    </row>
    <row r="215" spans="1:11" x14ac:dyDescent="0.25">
      <c r="A215" t="s">
        <v>407</v>
      </c>
      <c r="B215" s="1" t="s">
        <v>408</v>
      </c>
      <c r="C215" t="s">
        <v>24</v>
      </c>
      <c r="D215" t="s">
        <v>13</v>
      </c>
      <c r="E215" t="s">
        <v>29</v>
      </c>
      <c r="F215" t="s">
        <v>15</v>
      </c>
      <c r="G215" s="2">
        <v>3</v>
      </c>
      <c r="H215" s="3">
        <v>2697</v>
      </c>
      <c r="I215" s="3">
        <v>1642</v>
      </c>
      <c r="J215" s="3">
        <v>1055</v>
      </c>
      <c r="K215" s="3" t="str">
        <f>TEXT(Sales_Clean_Data[[#This Row],[Order_Date]],"mmm")</f>
        <v>Mar</v>
      </c>
    </row>
    <row r="216" spans="1:11" x14ac:dyDescent="0.25">
      <c r="A216" t="s">
        <v>409</v>
      </c>
      <c r="B216" s="1" t="s">
        <v>296</v>
      </c>
      <c r="C216" t="s">
        <v>18</v>
      </c>
      <c r="D216" t="s">
        <v>19</v>
      </c>
      <c r="E216" t="s">
        <v>14</v>
      </c>
      <c r="F216" t="s">
        <v>15</v>
      </c>
      <c r="G216" s="2">
        <v>5</v>
      </c>
      <c r="H216" s="3">
        <v>3805</v>
      </c>
      <c r="I216" s="3">
        <v>2937</v>
      </c>
      <c r="J216" s="3">
        <v>868</v>
      </c>
      <c r="K216" s="3" t="str">
        <f>TEXT(Sales_Clean_Data[[#This Row],[Order_Date]],"mmm")</f>
        <v>Aug</v>
      </c>
    </row>
    <row r="217" spans="1:11" x14ac:dyDescent="0.25">
      <c r="A217" t="s">
        <v>410</v>
      </c>
      <c r="B217" s="1" t="s">
        <v>411</v>
      </c>
      <c r="C217" t="s">
        <v>18</v>
      </c>
      <c r="D217" t="s">
        <v>19</v>
      </c>
      <c r="E217" t="s">
        <v>38</v>
      </c>
      <c r="F217" t="s">
        <v>21</v>
      </c>
      <c r="G217" s="2">
        <v>1</v>
      </c>
      <c r="H217" s="3">
        <v>446</v>
      </c>
      <c r="I217" s="3">
        <v>311</v>
      </c>
      <c r="J217" s="3">
        <v>135</v>
      </c>
      <c r="K217" s="3" t="str">
        <f>TEXT(Sales_Clean_Data[[#This Row],[Order_Date]],"mmm")</f>
        <v>Dec</v>
      </c>
    </row>
    <row r="218" spans="1:11" x14ac:dyDescent="0.25">
      <c r="A218" t="s">
        <v>412</v>
      </c>
      <c r="B218" s="1" t="s">
        <v>413</v>
      </c>
      <c r="C218" t="s">
        <v>27</v>
      </c>
      <c r="D218" t="s">
        <v>32</v>
      </c>
      <c r="E218" t="s">
        <v>20</v>
      </c>
      <c r="F218" t="s">
        <v>21</v>
      </c>
      <c r="G218" s="2">
        <v>3</v>
      </c>
      <c r="H218" s="3">
        <v>2523</v>
      </c>
      <c r="I218" s="3">
        <v>1929</v>
      </c>
      <c r="J218" s="3">
        <v>594</v>
      </c>
      <c r="K218" s="3" t="str">
        <f>TEXT(Sales_Clean_Data[[#This Row],[Order_Date]],"mmm")</f>
        <v>Mar</v>
      </c>
    </row>
    <row r="219" spans="1:11" x14ac:dyDescent="0.25">
      <c r="A219" t="s">
        <v>414</v>
      </c>
      <c r="B219" s="1" t="s">
        <v>415</v>
      </c>
      <c r="C219" t="s">
        <v>18</v>
      </c>
      <c r="D219" t="s">
        <v>19</v>
      </c>
      <c r="E219" t="s">
        <v>58</v>
      </c>
      <c r="F219" t="s">
        <v>15</v>
      </c>
      <c r="G219" s="2">
        <v>2</v>
      </c>
      <c r="H219" s="3">
        <v>456</v>
      </c>
      <c r="I219" s="3">
        <v>326</v>
      </c>
      <c r="J219" s="3">
        <v>130</v>
      </c>
      <c r="K219" s="3" t="str">
        <f>TEXT(Sales_Clean_Data[[#This Row],[Order_Date]],"mmm")</f>
        <v>Nov</v>
      </c>
    </row>
    <row r="220" spans="1:11" x14ac:dyDescent="0.25">
      <c r="A220" t="s">
        <v>416</v>
      </c>
      <c r="B220" s="1" t="s">
        <v>417</v>
      </c>
      <c r="C220" t="s">
        <v>24</v>
      </c>
      <c r="D220" t="s">
        <v>13</v>
      </c>
      <c r="E220" t="s">
        <v>29</v>
      </c>
      <c r="F220" t="s">
        <v>15</v>
      </c>
      <c r="G220" s="2">
        <v>5</v>
      </c>
      <c r="H220" s="3">
        <v>2025</v>
      </c>
      <c r="I220" s="3">
        <v>1482</v>
      </c>
      <c r="J220" s="3">
        <v>543</v>
      </c>
      <c r="K220" s="3" t="str">
        <f>TEXT(Sales_Clean_Data[[#This Row],[Order_Date]],"mmm")</f>
        <v>Apr</v>
      </c>
    </row>
    <row r="221" spans="1:11" x14ac:dyDescent="0.25">
      <c r="A221" t="s">
        <v>418</v>
      </c>
      <c r="B221" s="1" t="s">
        <v>419</v>
      </c>
      <c r="C221" t="s">
        <v>24</v>
      </c>
      <c r="D221" t="s">
        <v>47</v>
      </c>
      <c r="E221" t="s">
        <v>29</v>
      </c>
      <c r="F221" t="s">
        <v>15</v>
      </c>
      <c r="G221" s="2">
        <v>5</v>
      </c>
      <c r="H221" s="3">
        <v>5085</v>
      </c>
      <c r="I221" s="3">
        <v>3923</v>
      </c>
      <c r="J221" s="3">
        <v>1162</v>
      </c>
      <c r="K221" s="3" t="str">
        <f>TEXT(Sales_Clean_Data[[#This Row],[Order_Date]],"mmm")</f>
        <v>Dec</v>
      </c>
    </row>
    <row r="222" spans="1:11" x14ac:dyDescent="0.25">
      <c r="A222" t="s">
        <v>420</v>
      </c>
      <c r="B222" s="1" t="s">
        <v>178</v>
      </c>
      <c r="C222" t="s">
        <v>18</v>
      </c>
      <c r="D222" t="s">
        <v>37</v>
      </c>
      <c r="E222" t="s">
        <v>29</v>
      </c>
      <c r="F222" t="s">
        <v>15</v>
      </c>
      <c r="G222" s="2">
        <v>3</v>
      </c>
      <c r="H222" s="3">
        <v>2835</v>
      </c>
      <c r="I222" s="3">
        <v>2150</v>
      </c>
      <c r="J222" s="3">
        <v>685</v>
      </c>
      <c r="K222" s="3" t="str">
        <f>TEXT(Sales_Clean_Data[[#This Row],[Order_Date]],"mmm")</f>
        <v>May</v>
      </c>
    </row>
    <row r="223" spans="1:11" x14ac:dyDescent="0.25">
      <c r="A223" t="s">
        <v>421</v>
      </c>
      <c r="B223" s="1" t="s">
        <v>325</v>
      </c>
      <c r="C223" t="s">
        <v>27</v>
      </c>
      <c r="D223" t="s">
        <v>37</v>
      </c>
      <c r="E223" t="s">
        <v>20</v>
      </c>
      <c r="F223" t="s">
        <v>21</v>
      </c>
      <c r="G223" s="2">
        <v>3</v>
      </c>
      <c r="H223" s="3">
        <v>2382</v>
      </c>
      <c r="I223" s="3">
        <v>1664</v>
      </c>
      <c r="J223" s="3">
        <v>718</v>
      </c>
      <c r="K223" s="3" t="str">
        <f>TEXT(Sales_Clean_Data[[#This Row],[Order_Date]],"mmm")</f>
        <v>May</v>
      </c>
    </row>
    <row r="224" spans="1:11" x14ac:dyDescent="0.25">
      <c r="A224" t="s">
        <v>422</v>
      </c>
      <c r="B224" s="1" t="s">
        <v>93</v>
      </c>
      <c r="C224" t="s">
        <v>27</v>
      </c>
      <c r="D224" t="s">
        <v>19</v>
      </c>
      <c r="E224" t="s">
        <v>29</v>
      </c>
      <c r="F224" t="s">
        <v>15</v>
      </c>
      <c r="G224" s="2">
        <v>2</v>
      </c>
      <c r="H224" s="3">
        <v>2032</v>
      </c>
      <c r="I224" s="3">
        <v>1604</v>
      </c>
      <c r="J224" s="3">
        <v>428</v>
      </c>
      <c r="K224" s="3" t="str">
        <f>TEXT(Sales_Clean_Data[[#This Row],[Order_Date]],"mmm")</f>
        <v>Jun</v>
      </c>
    </row>
    <row r="225" spans="1:11" x14ac:dyDescent="0.25">
      <c r="A225" t="s">
        <v>423</v>
      </c>
      <c r="B225" s="1" t="s">
        <v>257</v>
      </c>
      <c r="C225" t="s">
        <v>18</v>
      </c>
      <c r="D225" t="s">
        <v>37</v>
      </c>
      <c r="E225" t="s">
        <v>71</v>
      </c>
      <c r="F225" t="s">
        <v>21</v>
      </c>
      <c r="G225" s="2">
        <v>3</v>
      </c>
      <c r="H225" s="3">
        <v>1362</v>
      </c>
      <c r="I225" s="3">
        <v>1078</v>
      </c>
      <c r="J225" s="3">
        <v>284</v>
      </c>
      <c r="K225" s="3" t="str">
        <f>TEXT(Sales_Clean_Data[[#This Row],[Order_Date]],"mmm")</f>
        <v>Dec</v>
      </c>
    </row>
    <row r="226" spans="1:11" x14ac:dyDescent="0.25">
      <c r="A226" t="s">
        <v>424</v>
      </c>
      <c r="B226" s="1" t="s">
        <v>425</v>
      </c>
      <c r="C226" t="s">
        <v>24</v>
      </c>
      <c r="D226" t="s">
        <v>28</v>
      </c>
      <c r="E226" t="s">
        <v>71</v>
      </c>
      <c r="F226" t="s">
        <v>21</v>
      </c>
      <c r="G226" s="2">
        <v>2</v>
      </c>
      <c r="H226" s="3">
        <v>2174</v>
      </c>
      <c r="I226" s="3">
        <v>1603</v>
      </c>
      <c r="J226" s="3">
        <v>571</v>
      </c>
      <c r="K226" s="3" t="str">
        <f>TEXT(Sales_Clean_Data[[#This Row],[Order_Date]],"mmm")</f>
        <v>Feb</v>
      </c>
    </row>
    <row r="227" spans="1:11" x14ac:dyDescent="0.25">
      <c r="A227" t="s">
        <v>426</v>
      </c>
      <c r="B227" s="1" t="s">
        <v>419</v>
      </c>
      <c r="C227" t="s">
        <v>12</v>
      </c>
      <c r="D227" t="s">
        <v>37</v>
      </c>
      <c r="E227" t="s">
        <v>20</v>
      </c>
      <c r="F227" t="s">
        <v>21</v>
      </c>
      <c r="G227" s="2">
        <v>2</v>
      </c>
      <c r="H227" s="3">
        <v>1490</v>
      </c>
      <c r="I227" s="3">
        <v>1165</v>
      </c>
      <c r="J227" s="3">
        <v>325</v>
      </c>
      <c r="K227" s="3" t="str">
        <f>TEXT(Sales_Clean_Data[[#This Row],[Order_Date]],"mmm")</f>
        <v>Dec</v>
      </c>
    </row>
    <row r="228" spans="1:11" x14ac:dyDescent="0.25">
      <c r="A228" t="s">
        <v>427</v>
      </c>
      <c r="B228" s="1" t="s">
        <v>250</v>
      </c>
      <c r="C228" t="s">
        <v>24</v>
      </c>
      <c r="D228" t="s">
        <v>47</v>
      </c>
      <c r="E228" t="s">
        <v>20</v>
      </c>
      <c r="F228" t="s">
        <v>21</v>
      </c>
      <c r="G228" s="2">
        <v>1</v>
      </c>
      <c r="H228" s="3">
        <v>808</v>
      </c>
      <c r="I228" s="3">
        <v>546</v>
      </c>
      <c r="J228" s="3">
        <v>262</v>
      </c>
      <c r="K228" s="3" t="str">
        <f>TEXT(Sales_Clean_Data[[#This Row],[Order_Date]],"mmm")</f>
        <v>Jan</v>
      </c>
    </row>
    <row r="229" spans="1:11" x14ac:dyDescent="0.25">
      <c r="A229" t="s">
        <v>428</v>
      </c>
      <c r="B229" s="1" t="s">
        <v>429</v>
      </c>
      <c r="C229" t="s">
        <v>27</v>
      </c>
      <c r="D229" t="s">
        <v>47</v>
      </c>
      <c r="E229" t="s">
        <v>14</v>
      </c>
      <c r="F229" t="s">
        <v>15</v>
      </c>
      <c r="G229" s="2">
        <v>5</v>
      </c>
      <c r="H229" s="3">
        <v>985</v>
      </c>
      <c r="I229" s="3">
        <v>614</v>
      </c>
      <c r="J229" s="3">
        <v>371</v>
      </c>
      <c r="K229" s="3" t="str">
        <f>TEXT(Sales_Clean_Data[[#This Row],[Order_Date]],"mmm")</f>
        <v>Aug</v>
      </c>
    </row>
    <row r="230" spans="1:11" x14ac:dyDescent="0.25">
      <c r="A230" t="s">
        <v>430</v>
      </c>
      <c r="B230" s="1" t="s">
        <v>261</v>
      </c>
      <c r="C230" t="s">
        <v>27</v>
      </c>
      <c r="D230" t="s">
        <v>19</v>
      </c>
      <c r="E230" t="s">
        <v>14</v>
      </c>
      <c r="F230" t="s">
        <v>15</v>
      </c>
      <c r="G230" s="2">
        <v>2</v>
      </c>
      <c r="H230" s="3">
        <v>1536</v>
      </c>
      <c r="I230" s="3">
        <v>1212</v>
      </c>
      <c r="J230" s="3">
        <v>324</v>
      </c>
      <c r="K230" s="3" t="str">
        <f>TEXT(Sales_Clean_Data[[#This Row],[Order_Date]],"mmm")</f>
        <v>Sep</v>
      </c>
    </row>
    <row r="231" spans="1:11" x14ac:dyDescent="0.25">
      <c r="A231" t="s">
        <v>431</v>
      </c>
      <c r="B231" s="1" t="s">
        <v>23</v>
      </c>
      <c r="C231" t="s">
        <v>18</v>
      </c>
      <c r="D231" t="s">
        <v>32</v>
      </c>
      <c r="E231" t="s">
        <v>14</v>
      </c>
      <c r="F231" t="s">
        <v>15</v>
      </c>
      <c r="G231" s="2">
        <v>5</v>
      </c>
      <c r="H231" s="3">
        <v>1640</v>
      </c>
      <c r="I231" s="3">
        <v>1067</v>
      </c>
      <c r="J231" s="3">
        <v>573</v>
      </c>
      <c r="K231" s="3" t="str">
        <f>TEXT(Sales_Clean_Data[[#This Row],[Order_Date]],"mmm")</f>
        <v>Dec</v>
      </c>
    </row>
    <row r="232" spans="1:11" x14ac:dyDescent="0.25">
      <c r="A232" t="s">
        <v>432</v>
      </c>
      <c r="B232" s="1" t="s">
        <v>429</v>
      </c>
      <c r="C232" t="s">
        <v>27</v>
      </c>
      <c r="D232" t="s">
        <v>28</v>
      </c>
      <c r="E232" t="s">
        <v>20</v>
      </c>
      <c r="F232" t="s">
        <v>21</v>
      </c>
      <c r="G232" s="2">
        <v>3</v>
      </c>
      <c r="H232" s="3">
        <v>783</v>
      </c>
      <c r="I232" s="3">
        <v>622</v>
      </c>
      <c r="J232" s="3">
        <v>161</v>
      </c>
      <c r="K232" s="3" t="str">
        <f>TEXT(Sales_Clean_Data[[#This Row],[Order_Date]],"mmm")</f>
        <v>Aug</v>
      </c>
    </row>
    <row r="233" spans="1:11" x14ac:dyDescent="0.25">
      <c r="A233" t="s">
        <v>433</v>
      </c>
      <c r="B233" s="1" t="s">
        <v>292</v>
      </c>
      <c r="C233" t="s">
        <v>24</v>
      </c>
      <c r="D233" t="s">
        <v>32</v>
      </c>
      <c r="E233" t="s">
        <v>71</v>
      </c>
      <c r="F233" t="s">
        <v>21</v>
      </c>
      <c r="G233" s="2">
        <v>2</v>
      </c>
      <c r="H233" s="3">
        <v>1534</v>
      </c>
      <c r="I233" s="3">
        <v>991</v>
      </c>
      <c r="J233" s="3">
        <v>543</v>
      </c>
      <c r="K233" s="3" t="str">
        <f>TEXT(Sales_Clean_Data[[#This Row],[Order_Date]],"mmm")</f>
        <v>May</v>
      </c>
    </row>
    <row r="234" spans="1:11" x14ac:dyDescent="0.25">
      <c r="A234" t="s">
        <v>434</v>
      </c>
      <c r="B234" s="1" t="s">
        <v>190</v>
      </c>
      <c r="C234" t="s">
        <v>12</v>
      </c>
      <c r="D234" t="s">
        <v>32</v>
      </c>
      <c r="E234" t="s">
        <v>71</v>
      </c>
      <c r="F234" t="s">
        <v>21</v>
      </c>
      <c r="G234" s="2">
        <v>1</v>
      </c>
      <c r="H234" s="3">
        <v>845</v>
      </c>
      <c r="I234" s="3">
        <v>572</v>
      </c>
      <c r="J234" s="3">
        <v>273</v>
      </c>
      <c r="K234" s="3" t="str">
        <f>TEXT(Sales_Clean_Data[[#This Row],[Order_Date]],"mmm")</f>
        <v>Apr</v>
      </c>
    </row>
    <row r="235" spans="1:11" x14ac:dyDescent="0.25">
      <c r="A235" t="s">
        <v>435</v>
      </c>
      <c r="B235" s="1" t="s">
        <v>211</v>
      </c>
      <c r="C235" t="s">
        <v>24</v>
      </c>
      <c r="D235" t="s">
        <v>47</v>
      </c>
      <c r="E235" t="s">
        <v>38</v>
      </c>
      <c r="F235" t="s">
        <v>21</v>
      </c>
      <c r="G235" s="2">
        <v>3</v>
      </c>
      <c r="H235" s="3">
        <v>3369</v>
      </c>
      <c r="I235" s="3">
        <v>2271</v>
      </c>
      <c r="J235" s="3">
        <v>1098</v>
      </c>
      <c r="K235" s="3" t="str">
        <f>TEXT(Sales_Clean_Data[[#This Row],[Order_Date]],"mmm")</f>
        <v>Jun</v>
      </c>
    </row>
    <row r="236" spans="1:11" x14ac:dyDescent="0.25">
      <c r="A236" t="s">
        <v>436</v>
      </c>
      <c r="B236" s="1" t="s">
        <v>248</v>
      </c>
      <c r="C236" t="s">
        <v>18</v>
      </c>
      <c r="D236" t="s">
        <v>28</v>
      </c>
      <c r="E236" t="s">
        <v>20</v>
      </c>
      <c r="F236" t="s">
        <v>21</v>
      </c>
      <c r="G236" s="2">
        <v>4</v>
      </c>
      <c r="H236" s="3">
        <v>3256</v>
      </c>
      <c r="I236" s="3">
        <v>2142</v>
      </c>
      <c r="J236" s="3">
        <v>1114</v>
      </c>
      <c r="K236" s="3" t="str">
        <f>TEXT(Sales_Clean_Data[[#This Row],[Order_Date]],"mmm")</f>
        <v>Jul</v>
      </c>
    </row>
    <row r="237" spans="1:11" x14ac:dyDescent="0.25">
      <c r="A237" t="s">
        <v>437</v>
      </c>
      <c r="B237" s="1" t="s">
        <v>23</v>
      </c>
      <c r="C237" t="s">
        <v>24</v>
      </c>
      <c r="D237" t="s">
        <v>13</v>
      </c>
      <c r="E237" t="s">
        <v>20</v>
      </c>
      <c r="F237" t="s">
        <v>21</v>
      </c>
      <c r="G237" s="2">
        <v>5</v>
      </c>
      <c r="H237" s="3">
        <v>2700</v>
      </c>
      <c r="I237" s="3">
        <v>1964</v>
      </c>
      <c r="J237" s="3">
        <v>736</v>
      </c>
      <c r="K237" s="3" t="str">
        <f>TEXT(Sales_Clean_Data[[#This Row],[Order_Date]],"mmm")</f>
        <v>Dec</v>
      </c>
    </row>
    <row r="238" spans="1:11" x14ac:dyDescent="0.25">
      <c r="A238" t="s">
        <v>438</v>
      </c>
      <c r="B238" s="1" t="s">
        <v>439</v>
      </c>
      <c r="C238" t="s">
        <v>18</v>
      </c>
      <c r="D238" t="s">
        <v>32</v>
      </c>
      <c r="E238" t="s">
        <v>29</v>
      </c>
      <c r="F238" t="s">
        <v>15</v>
      </c>
      <c r="G238" s="2">
        <v>4</v>
      </c>
      <c r="H238" s="3">
        <v>3068</v>
      </c>
      <c r="I238" s="3">
        <v>2325</v>
      </c>
      <c r="J238" s="3">
        <v>743</v>
      </c>
      <c r="K238" s="3" t="str">
        <f>TEXT(Sales_Clean_Data[[#This Row],[Order_Date]],"mmm")</f>
        <v>Apr</v>
      </c>
    </row>
    <row r="239" spans="1:11" x14ac:dyDescent="0.25">
      <c r="A239" t="s">
        <v>440</v>
      </c>
      <c r="B239" s="1" t="s">
        <v>134</v>
      </c>
      <c r="C239" t="s">
        <v>18</v>
      </c>
      <c r="D239" t="s">
        <v>28</v>
      </c>
      <c r="E239" t="s">
        <v>38</v>
      </c>
      <c r="F239" t="s">
        <v>21</v>
      </c>
      <c r="G239" s="2">
        <v>1</v>
      </c>
      <c r="H239" s="3">
        <v>271</v>
      </c>
      <c r="I239" s="3">
        <v>196</v>
      </c>
      <c r="J239" s="3">
        <v>75</v>
      </c>
      <c r="K239" s="3" t="str">
        <f>TEXT(Sales_Clean_Data[[#This Row],[Order_Date]],"mmm")</f>
        <v>Mar</v>
      </c>
    </row>
    <row r="240" spans="1:11" x14ac:dyDescent="0.25">
      <c r="A240" t="s">
        <v>441</v>
      </c>
      <c r="B240" s="1" t="s">
        <v>79</v>
      </c>
      <c r="C240" t="s">
        <v>24</v>
      </c>
      <c r="D240" t="s">
        <v>13</v>
      </c>
      <c r="E240" t="s">
        <v>29</v>
      </c>
      <c r="F240" t="s">
        <v>15</v>
      </c>
      <c r="G240" s="2">
        <v>3</v>
      </c>
      <c r="H240" s="3">
        <v>2391</v>
      </c>
      <c r="I240" s="3">
        <v>1836</v>
      </c>
      <c r="J240" s="3">
        <v>555</v>
      </c>
      <c r="K240" s="3" t="str">
        <f>TEXT(Sales_Clean_Data[[#This Row],[Order_Date]],"mmm")</f>
        <v>Nov</v>
      </c>
    </row>
    <row r="241" spans="1:11" x14ac:dyDescent="0.25">
      <c r="A241" t="s">
        <v>442</v>
      </c>
      <c r="B241" s="1" t="s">
        <v>101</v>
      </c>
      <c r="C241" t="s">
        <v>27</v>
      </c>
      <c r="D241" t="s">
        <v>13</v>
      </c>
      <c r="E241" t="s">
        <v>14</v>
      </c>
      <c r="F241" t="s">
        <v>15</v>
      </c>
      <c r="G241" s="2">
        <v>2</v>
      </c>
      <c r="H241" s="3">
        <v>566</v>
      </c>
      <c r="I241" s="3">
        <v>438</v>
      </c>
      <c r="J241" s="3">
        <v>128</v>
      </c>
      <c r="K241" s="3" t="str">
        <f>TEXT(Sales_Clean_Data[[#This Row],[Order_Date]],"mmm")</f>
        <v>Jun</v>
      </c>
    </row>
    <row r="242" spans="1:11" x14ac:dyDescent="0.25">
      <c r="A242" t="s">
        <v>443</v>
      </c>
      <c r="B242" s="1" t="s">
        <v>77</v>
      </c>
      <c r="C242" t="s">
        <v>27</v>
      </c>
      <c r="D242" t="s">
        <v>37</v>
      </c>
      <c r="E242" t="s">
        <v>71</v>
      </c>
      <c r="F242" t="s">
        <v>21</v>
      </c>
      <c r="G242" s="2">
        <v>5</v>
      </c>
      <c r="H242" s="3">
        <v>4410</v>
      </c>
      <c r="I242" s="3">
        <v>3253</v>
      </c>
      <c r="J242" s="3">
        <v>1157</v>
      </c>
      <c r="K242" s="3" t="str">
        <f>TEXT(Sales_Clean_Data[[#This Row],[Order_Date]],"mmm")</f>
        <v>Feb</v>
      </c>
    </row>
    <row r="243" spans="1:11" x14ac:dyDescent="0.25">
      <c r="A243" t="s">
        <v>444</v>
      </c>
      <c r="B243" s="1" t="s">
        <v>163</v>
      </c>
      <c r="C243" t="s">
        <v>18</v>
      </c>
      <c r="D243" t="s">
        <v>32</v>
      </c>
      <c r="E243" t="s">
        <v>71</v>
      </c>
      <c r="F243" t="s">
        <v>21</v>
      </c>
      <c r="G243" s="2">
        <v>5</v>
      </c>
      <c r="H243" s="3">
        <v>1285</v>
      </c>
      <c r="I243" s="3">
        <v>874</v>
      </c>
      <c r="J243" s="3">
        <v>411</v>
      </c>
      <c r="K243" s="3" t="str">
        <f>TEXT(Sales_Clean_Data[[#This Row],[Order_Date]],"mmm")</f>
        <v>Feb</v>
      </c>
    </row>
    <row r="244" spans="1:11" x14ac:dyDescent="0.25">
      <c r="A244" t="s">
        <v>445</v>
      </c>
      <c r="B244" s="1" t="s">
        <v>446</v>
      </c>
      <c r="C244" t="s">
        <v>12</v>
      </c>
      <c r="D244" t="s">
        <v>19</v>
      </c>
      <c r="E244" t="s">
        <v>71</v>
      </c>
      <c r="F244" t="s">
        <v>21</v>
      </c>
      <c r="G244" s="2">
        <v>4</v>
      </c>
      <c r="H244" s="3">
        <v>2920</v>
      </c>
      <c r="I244" s="3">
        <v>2123</v>
      </c>
      <c r="J244" s="3">
        <v>797</v>
      </c>
      <c r="K244" s="3" t="str">
        <f>TEXT(Sales_Clean_Data[[#This Row],[Order_Date]],"mmm")</f>
        <v>Dec</v>
      </c>
    </row>
    <row r="245" spans="1:11" x14ac:dyDescent="0.25">
      <c r="A245" t="s">
        <v>447</v>
      </c>
      <c r="B245" s="1" t="s">
        <v>250</v>
      </c>
      <c r="C245" t="s">
        <v>24</v>
      </c>
      <c r="D245" t="s">
        <v>32</v>
      </c>
      <c r="E245" t="s">
        <v>20</v>
      </c>
      <c r="F245" t="s">
        <v>21</v>
      </c>
      <c r="G245" s="2">
        <v>1</v>
      </c>
      <c r="H245" s="3">
        <v>609</v>
      </c>
      <c r="I245" s="3">
        <v>438</v>
      </c>
      <c r="J245" s="3">
        <v>171</v>
      </c>
      <c r="K245" s="3" t="str">
        <f>TEXT(Sales_Clean_Data[[#This Row],[Order_Date]],"mmm")</f>
        <v>Jan</v>
      </c>
    </row>
    <row r="246" spans="1:11" x14ac:dyDescent="0.25">
      <c r="A246" t="s">
        <v>448</v>
      </c>
      <c r="B246" s="1" t="s">
        <v>83</v>
      </c>
      <c r="C246" t="s">
        <v>12</v>
      </c>
      <c r="D246" t="s">
        <v>37</v>
      </c>
      <c r="E246" t="s">
        <v>14</v>
      </c>
      <c r="F246" t="s">
        <v>15</v>
      </c>
      <c r="G246" s="2">
        <v>3</v>
      </c>
      <c r="H246" s="3">
        <v>1278</v>
      </c>
      <c r="I246" s="3">
        <v>997</v>
      </c>
      <c r="J246" s="3">
        <v>281</v>
      </c>
      <c r="K246" s="3" t="str">
        <f>TEXT(Sales_Clean_Data[[#This Row],[Order_Date]],"mmm")</f>
        <v>Sep</v>
      </c>
    </row>
    <row r="247" spans="1:11" x14ac:dyDescent="0.25">
      <c r="A247" t="s">
        <v>449</v>
      </c>
      <c r="B247" s="1" t="s">
        <v>439</v>
      </c>
      <c r="C247" t="s">
        <v>18</v>
      </c>
      <c r="D247" t="s">
        <v>28</v>
      </c>
      <c r="E247" t="s">
        <v>14</v>
      </c>
      <c r="F247" t="s">
        <v>15</v>
      </c>
      <c r="G247" s="2">
        <v>2</v>
      </c>
      <c r="H247" s="3">
        <v>1916</v>
      </c>
      <c r="I247" s="3">
        <v>1174</v>
      </c>
      <c r="J247" s="3">
        <v>742</v>
      </c>
      <c r="K247" s="3" t="str">
        <f>TEXT(Sales_Clean_Data[[#This Row],[Order_Date]],"mmm")</f>
        <v>Apr</v>
      </c>
    </row>
    <row r="248" spans="1:11" x14ac:dyDescent="0.25">
      <c r="A248" t="s">
        <v>450</v>
      </c>
      <c r="B248" s="1" t="s">
        <v>451</v>
      </c>
      <c r="C248" t="s">
        <v>24</v>
      </c>
      <c r="D248" t="s">
        <v>19</v>
      </c>
      <c r="E248" t="s">
        <v>58</v>
      </c>
      <c r="F248" t="s">
        <v>15</v>
      </c>
      <c r="G248" s="2">
        <v>3</v>
      </c>
      <c r="H248" s="3">
        <v>2121</v>
      </c>
      <c r="I248" s="3">
        <v>1623</v>
      </c>
      <c r="J248" s="3">
        <v>498</v>
      </c>
      <c r="K248" s="3" t="str">
        <f>TEXT(Sales_Clean_Data[[#This Row],[Order_Date]],"mmm")</f>
        <v>Jan</v>
      </c>
    </row>
    <row r="249" spans="1:11" x14ac:dyDescent="0.25">
      <c r="A249" t="s">
        <v>452</v>
      </c>
      <c r="B249" s="1" t="s">
        <v>49</v>
      </c>
      <c r="C249" t="s">
        <v>24</v>
      </c>
      <c r="D249" t="s">
        <v>32</v>
      </c>
      <c r="E249" t="s">
        <v>14</v>
      </c>
      <c r="F249" t="s">
        <v>15</v>
      </c>
      <c r="G249" s="2">
        <v>2</v>
      </c>
      <c r="H249" s="3">
        <v>1318</v>
      </c>
      <c r="I249" s="3">
        <v>969</v>
      </c>
      <c r="J249" s="3">
        <v>349</v>
      </c>
      <c r="K249" s="3" t="str">
        <f>TEXT(Sales_Clean_Data[[#This Row],[Order_Date]],"mmm")</f>
        <v>Nov</v>
      </c>
    </row>
    <row r="250" spans="1:11" x14ac:dyDescent="0.25">
      <c r="A250" t="s">
        <v>453</v>
      </c>
      <c r="B250" s="1" t="s">
        <v>454</v>
      </c>
      <c r="C250" t="s">
        <v>18</v>
      </c>
      <c r="D250" t="s">
        <v>13</v>
      </c>
      <c r="E250" t="s">
        <v>29</v>
      </c>
      <c r="F250" t="s">
        <v>15</v>
      </c>
      <c r="G250" s="2">
        <v>2</v>
      </c>
      <c r="H250" s="3">
        <v>700</v>
      </c>
      <c r="I250" s="3">
        <v>439</v>
      </c>
      <c r="J250" s="3">
        <v>261</v>
      </c>
      <c r="K250" s="3" t="str">
        <f>TEXT(Sales_Clean_Data[[#This Row],[Order_Date]],"mmm")</f>
        <v>Oct</v>
      </c>
    </row>
    <row r="251" spans="1:11" x14ac:dyDescent="0.25">
      <c r="A251" t="s">
        <v>455</v>
      </c>
      <c r="B251" s="1" t="s">
        <v>81</v>
      </c>
      <c r="C251" t="s">
        <v>24</v>
      </c>
      <c r="D251" t="s">
        <v>37</v>
      </c>
      <c r="E251" t="s">
        <v>71</v>
      </c>
      <c r="F251" t="s">
        <v>21</v>
      </c>
      <c r="G251" s="2">
        <v>1</v>
      </c>
      <c r="H251" s="3">
        <v>1112</v>
      </c>
      <c r="I251" s="3">
        <v>758</v>
      </c>
      <c r="J251" s="3">
        <v>354</v>
      </c>
      <c r="K251" s="3" t="str">
        <f>TEXT(Sales_Clean_Data[[#This Row],[Order_Date]],"mmm")</f>
        <v>Oct</v>
      </c>
    </row>
    <row r="252" spans="1:11" x14ac:dyDescent="0.25">
      <c r="A252" t="s">
        <v>456</v>
      </c>
      <c r="B252" s="1" t="s">
        <v>457</v>
      </c>
      <c r="C252" t="s">
        <v>12</v>
      </c>
      <c r="D252" t="s">
        <v>28</v>
      </c>
      <c r="E252" t="s">
        <v>14</v>
      </c>
      <c r="F252" t="s">
        <v>15</v>
      </c>
      <c r="G252" s="2">
        <v>4</v>
      </c>
      <c r="H252" s="3">
        <v>1096</v>
      </c>
      <c r="I252" s="3">
        <v>719</v>
      </c>
      <c r="J252" s="3">
        <v>377</v>
      </c>
      <c r="K252" s="3" t="str">
        <f>TEXT(Sales_Clean_Data[[#This Row],[Order_Date]],"mmm")</f>
        <v>Feb</v>
      </c>
    </row>
    <row r="253" spans="1:11" x14ac:dyDescent="0.25">
      <c r="A253" t="s">
        <v>458</v>
      </c>
      <c r="B253" s="1" t="s">
        <v>244</v>
      </c>
      <c r="C253" t="s">
        <v>24</v>
      </c>
      <c r="D253" t="s">
        <v>13</v>
      </c>
      <c r="E253" t="s">
        <v>38</v>
      </c>
      <c r="F253" t="s">
        <v>21</v>
      </c>
      <c r="G253" s="2">
        <v>2</v>
      </c>
      <c r="H253" s="3">
        <v>1012</v>
      </c>
      <c r="I253" s="3">
        <v>748</v>
      </c>
      <c r="J253" s="3">
        <v>264</v>
      </c>
      <c r="K253" s="3" t="str">
        <f>TEXT(Sales_Clean_Data[[#This Row],[Order_Date]],"mmm")</f>
        <v>Feb</v>
      </c>
    </row>
    <row r="254" spans="1:11" x14ac:dyDescent="0.25">
      <c r="A254" t="s">
        <v>459</v>
      </c>
      <c r="B254" s="1" t="s">
        <v>136</v>
      </c>
      <c r="C254" t="s">
        <v>24</v>
      </c>
      <c r="D254" t="s">
        <v>32</v>
      </c>
      <c r="E254" t="s">
        <v>58</v>
      </c>
      <c r="F254" t="s">
        <v>15</v>
      </c>
      <c r="G254" s="2">
        <v>2</v>
      </c>
      <c r="H254" s="3">
        <v>2058</v>
      </c>
      <c r="I254" s="3">
        <v>1311</v>
      </c>
      <c r="J254" s="3">
        <v>747</v>
      </c>
      <c r="K254" s="3" t="str">
        <f>TEXT(Sales_Clean_Data[[#This Row],[Order_Date]],"mmm")</f>
        <v>Jun</v>
      </c>
    </row>
    <row r="255" spans="1:11" x14ac:dyDescent="0.25">
      <c r="A255" t="s">
        <v>460</v>
      </c>
      <c r="B255" s="1" t="s">
        <v>379</v>
      </c>
      <c r="C255" t="s">
        <v>12</v>
      </c>
      <c r="D255" t="s">
        <v>47</v>
      </c>
      <c r="E255" t="s">
        <v>71</v>
      </c>
      <c r="F255" t="s">
        <v>21</v>
      </c>
      <c r="G255" s="2">
        <v>4</v>
      </c>
      <c r="H255" s="3">
        <v>580</v>
      </c>
      <c r="I255" s="3">
        <v>387</v>
      </c>
      <c r="J255" s="3">
        <v>193</v>
      </c>
      <c r="K255" s="3" t="str">
        <f>TEXT(Sales_Clean_Data[[#This Row],[Order_Date]],"mmm")</f>
        <v>Oct</v>
      </c>
    </row>
    <row r="256" spans="1:11" x14ac:dyDescent="0.25">
      <c r="A256" t="s">
        <v>461</v>
      </c>
      <c r="B256" s="1" t="s">
        <v>462</v>
      </c>
      <c r="C256" t="s">
        <v>18</v>
      </c>
      <c r="D256" t="s">
        <v>37</v>
      </c>
      <c r="E256" t="s">
        <v>71</v>
      </c>
      <c r="F256" t="s">
        <v>21</v>
      </c>
      <c r="G256" s="2">
        <v>3</v>
      </c>
      <c r="H256" s="3">
        <v>702</v>
      </c>
      <c r="I256" s="3">
        <v>456</v>
      </c>
      <c r="J256" s="3">
        <v>246</v>
      </c>
      <c r="K256" s="3" t="str">
        <f>TEXT(Sales_Clean_Data[[#This Row],[Order_Date]],"mmm")</f>
        <v>Apr</v>
      </c>
    </row>
    <row r="257" spans="1:11" x14ac:dyDescent="0.25">
      <c r="A257" t="s">
        <v>463</v>
      </c>
      <c r="B257" s="1" t="s">
        <v>464</v>
      </c>
      <c r="C257" t="s">
        <v>27</v>
      </c>
      <c r="D257" t="s">
        <v>28</v>
      </c>
      <c r="E257" t="s">
        <v>38</v>
      </c>
      <c r="F257" t="s">
        <v>21</v>
      </c>
      <c r="G257" s="2">
        <v>2</v>
      </c>
      <c r="H257" s="3">
        <v>460</v>
      </c>
      <c r="I257" s="3">
        <v>284</v>
      </c>
      <c r="J257" s="3">
        <v>176</v>
      </c>
      <c r="K257" s="3" t="str">
        <f>TEXT(Sales_Clean_Data[[#This Row],[Order_Date]],"mmm")</f>
        <v>Feb</v>
      </c>
    </row>
    <row r="258" spans="1:11" x14ac:dyDescent="0.25">
      <c r="A258" t="s">
        <v>465</v>
      </c>
      <c r="B258" s="1" t="s">
        <v>466</v>
      </c>
      <c r="C258" t="s">
        <v>12</v>
      </c>
      <c r="D258" t="s">
        <v>28</v>
      </c>
      <c r="E258" t="s">
        <v>71</v>
      </c>
      <c r="F258" t="s">
        <v>21</v>
      </c>
      <c r="G258" s="2">
        <v>3</v>
      </c>
      <c r="H258" s="3">
        <v>3387</v>
      </c>
      <c r="I258" s="3">
        <v>2423</v>
      </c>
      <c r="J258" s="3">
        <v>964</v>
      </c>
      <c r="K258" s="3" t="str">
        <f>TEXT(Sales_Clean_Data[[#This Row],[Order_Date]],"mmm")</f>
        <v>Jan</v>
      </c>
    </row>
    <row r="259" spans="1:11" x14ac:dyDescent="0.25">
      <c r="A259" t="s">
        <v>467</v>
      </c>
      <c r="B259" s="1" t="s">
        <v>383</v>
      </c>
      <c r="C259" t="s">
        <v>27</v>
      </c>
      <c r="D259" t="s">
        <v>37</v>
      </c>
      <c r="E259" t="s">
        <v>71</v>
      </c>
      <c r="F259" t="s">
        <v>21</v>
      </c>
      <c r="G259" s="2">
        <v>1</v>
      </c>
      <c r="H259" s="3">
        <v>847</v>
      </c>
      <c r="I259" s="3">
        <v>628</v>
      </c>
      <c r="J259" s="3">
        <v>219</v>
      </c>
      <c r="K259" s="3" t="str">
        <f>TEXT(Sales_Clean_Data[[#This Row],[Order_Date]],"mmm")</f>
        <v>Aug</v>
      </c>
    </row>
    <row r="260" spans="1:11" x14ac:dyDescent="0.25">
      <c r="A260" t="s">
        <v>468</v>
      </c>
      <c r="B260" s="1" t="s">
        <v>469</v>
      </c>
      <c r="C260" t="s">
        <v>12</v>
      </c>
      <c r="D260" t="s">
        <v>19</v>
      </c>
      <c r="E260" t="s">
        <v>71</v>
      </c>
      <c r="F260" t="s">
        <v>21</v>
      </c>
      <c r="G260" s="2">
        <v>4</v>
      </c>
      <c r="H260" s="3">
        <v>4468</v>
      </c>
      <c r="I260" s="3">
        <v>3341</v>
      </c>
      <c r="J260" s="3">
        <v>1127</v>
      </c>
      <c r="K260" s="3" t="str">
        <f>TEXT(Sales_Clean_Data[[#This Row],[Order_Date]],"mmm")</f>
        <v>Jun</v>
      </c>
    </row>
    <row r="261" spans="1:11" x14ac:dyDescent="0.25">
      <c r="A261" t="s">
        <v>470</v>
      </c>
      <c r="B261" s="1" t="s">
        <v>388</v>
      </c>
      <c r="C261" t="s">
        <v>24</v>
      </c>
      <c r="D261" t="s">
        <v>47</v>
      </c>
      <c r="E261" t="s">
        <v>71</v>
      </c>
      <c r="F261" t="s">
        <v>21</v>
      </c>
      <c r="G261" s="2">
        <v>5</v>
      </c>
      <c r="H261" s="3">
        <v>4690</v>
      </c>
      <c r="I261" s="3">
        <v>3492</v>
      </c>
      <c r="J261" s="3">
        <v>1198</v>
      </c>
      <c r="K261" s="3" t="str">
        <f>TEXT(Sales_Clean_Data[[#This Row],[Order_Date]],"mmm")</f>
        <v>Mar</v>
      </c>
    </row>
    <row r="262" spans="1:11" x14ac:dyDescent="0.25">
      <c r="A262" t="s">
        <v>471</v>
      </c>
      <c r="B262" s="1" t="s">
        <v>472</v>
      </c>
      <c r="C262" t="s">
        <v>24</v>
      </c>
      <c r="D262" t="s">
        <v>37</v>
      </c>
      <c r="E262" t="s">
        <v>20</v>
      </c>
      <c r="F262" t="s">
        <v>21</v>
      </c>
      <c r="G262" s="2">
        <v>3</v>
      </c>
      <c r="H262" s="3">
        <v>3597</v>
      </c>
      <c r="I262" s="3">
        <v>2640</v>
      </c>
      <c r="J262" s="3">
        <v>957</v>
      </c>
      <c r="K262" s="3" t="str">
        <f>TEXT(Sales_Clean_Data[[#This Row],[Order_Date]],"mmm")</f>
        <v>May</v>
      </c>
    </row>
    <row r="263" spans="1:11" x14ac:dyDescent="0.25">
      <c r="A263" t="s">
        <v>473</v>
      </c>
      <c r="B263" s="1" t="s">
        <v>356</v>
      </c>
      <c r="C263" t="s">
        <v>12</v>
      </c>
      <c r="D263" t="s">
        <v>19</v>
      </c>
      <c r="E263" t="s">
        <v>29</v>
      </c>
      <c r="F263" t="s">
        <v>15</v>
      </c>
      <c r="G263" s="2">
        <v>1</v>
      </c>
      <c r="H263" s="3">
        <v>828</v>
      </c>
      <c r="I263" s="3">
        <v>502</v>
      </c>
      <c r="J263" s="3">
        <v>326</v>
      </c>
      <c r="K263" s="3" t="str">
        <f>TEXT(Sales_Clean_Data[[#This Row],[Order_Date]],"mmm")</f>
        <v>Sep</v>
      </c>
    </row>
    <row r="264" spans="1:11" x14ac:dyDescent="0.25">
      <c r="A264" t="s">
        <v>474</v>
      </c>
      <c r="B264" s="1" t="s">
        <v>475</v>
      </c>
      <c r="C264" t="s">
        <v>24</v>
      </c>
      <c r="D264" t="s">
        <v>47</v>
      </c>
      <c r="E264" t="s">
        <v>20</v>
      </c>
      <c r="F264" t="s">
        <v>21</v>
      </c>
      <c r="G264" s="2">
        <v>3</v>
      </c>
      <c r="H264" s="3">
        <v>1314</v>
      </c>
      <c r="I264" s="3">
        <v>1014</v>
      </c>
      <c r="J264" s="3">
        <v>300</v>
      </c>
      <c r="K264" s="3" t="str">
        <f>TEXT(Sales_Clean_Data[[#This Row],[Order_Date]],"mmm")</f>
        <v>May</v>
      </c>
    </row>
    <row r="265" spans="1:11" x14ac:dyDescent="0.25">
      <c r="A265" t="s">
        <v>476</v>
      </c>
      <c r="B265" s="1" t="s">
        <v>60</v>
      </c>
      <c r="C265" t="s">
        <v>24</v>
      </c>
      <c r="D265" t="s">
        <v>37</v>
      </c>
      <c r="E265" t="s">
        <v>29</v>
      </c>
      <c r="F265" t="s">
        <v>15</v>
      </c>
      <c r="G265" s="2">
        <v>2</v>
      </c>
      <c r="H265" s="3">
        <v>736</v>
      </c>
      <c r="I265" s="3">
        <v>479</v>
      </c>
      <c r="J265" s="3">
        <v>257</v>
      </c>
      <c r="K265" s="3" t="str">
        <f>TEXT(Sales_Clean_Data[[#This Row],[Order_Date]],"mmm")</f>
        <v>Jul</v>
      </c>
    </row>
    <row r="266" spans="1:11" x14ac:dyDescent="0.25">
      <c r="A266" t="s">
        <v>477</v>
      </c>
      <c r="B266" s="1" t="s">
        <v>391</v>
      </c>
      <c r="C266" t="s">
        <v>27</v>
      </c>
      <c r="D266" t="s">
        <v>13</v>
      </c>
      <c r="E266" t="s">
        <v>20</v>
      </c>
      <c r="F266" t="s">
        <v>21</v>
      </c>
      <c r="G266" s="2">
        <v>5</v>
      </c>
      <c r="H266" s="3">
        <v>2540</v>
      </c>
      <c r="I266" s="3">
        <v>1564</v>
      </c>
      <c r="J266" s="3">
        <v>976</v>
      </c>
      <c r="K266" s="3" t="str">
        <f>TEXT(Sales_Clean_Data[[#This Row],[Order_Date]],"mmm")</f>
        <v>Mar</v>
      </c>
    </row>
    <row r="267" spans="1:11" x14ac:dyDescent="0.25">
      <c r="A267" t="s">
        <v>478</v>
      </c>
      <c r="B267" s="1" t="s">
        <v>479</v>
      </c>
      <c r="C267" t="s">
        <v>18</v>
      </c>
      <c r="D267" t="s">
        <v>13</v>
      </c>
      <c r="E267" t="s">
        <v>20</v>
      </c>
      <c r="F267" t="s">
        <v>21</v>
      </c>
      <c r="G267" s="2">
        <v>2</v>
      </c>
      <c r="H267" s="3">
        <v>210</v>
      </c>
      <c r="I267" s="3">
        <v>164</v>
      </c>
      <c r="J267" s="3">
        <v>46</v>
      </c>
      <c r="K267" s="3" t="str">
        <f>TEXT(Sales_Clean_Data[[#This Row],[Order_Date]],"mmm")</f>
        <v>Dec</v>
      </c>
    </row>
    <row r="268" spans="1:11" x14ac:dyDescent="0.25">
      <c r="A268" t="s">
        <v>480</v>
      </c>
      <c r="B268" s="1" t="s">
        <v>174</v>
      </c>
      <c r="C268" t="s">
        <v>18</v>
      </c>
      <c r="D268" t="s">
        <v>32</v>
      </c>
      <c r="E268" t="s">
        <v>71</v>
      </c>
      <c r="F268" t="s">
        <v>21</v>
      </c>
      <c r="G268" s="2">
        <v>4</v>
      </c>
      <c r="H268" s="3">
        <v>2760</v>
      </c>
      <c r="I268" s="3">
        <v>1687</v>
      </c>
      <c r="J268" s="3">
        <v>1073</v>
      </c>
      <c r="K268" s="3" t="str">
        <f>TEXT(Sales_Clean_Data[[#This Row],[Order_Date]],"mmm")</f>
        <v>Feb</v>
      </c>
    </row>
    <row r="269" spans="1:11" x14ac:dyDescent="0.25">
      <c r="A269" t="s">
        <v>481</v>
      </c>
      <c r="B269" s="1" t="s">
        <v>475</v>
      </c>
      <c r="C269" t="s">
        <v>12</v>
      </c>
      <c r="D269" t="s">
        <v>28</v>
      </c>
      <c r="E269" t="s">
        <v>38</v>
      </c>
      <c r="F269" t="s">
        <v>21</v>
      </c>
      <c r="G269" s="2">
        <v>1</v>
      </c>
      <c r="H269" s="3">
        <v>870</v>
      </c>
      <c r="I269" s="3">
        <v>557</v>
      </c>
      <c r="J269" s="3">
        <v>313</v>
      </c>
      <c r="K269" s="3" t="str">
        <f>TEXT(Sales_Clean_Data[[#This Row],[Order_Date]],"mmm")</f>
        <v>May</v>
      </c>
    </row>
    <row r="270" spans="1:11" x14ac:dyDescent="0.25">
      <c r="A270" t="s">
        <v>482</v>
      </c>
      <c r="B270" s="1" t="s">
        <v>93</v>
      </c>
      <c r="C270" t="s">
        <v>24</v>
      </c>
      <c r="D270" t="s">
        <v>47</v>
      </c>
      <c r="E270" t="s">
        <v>14</v>
      </c>
      <c r="F270" t="s">
        <v>15</v>
      </c>
      <c r="G270" s="2">
        <v>2</v>
      </c>
      <c r="H270" s="3">
        <v>444</v>
      </c>
      <c r="I270" s="3">
        <v>343</v>
      </c>
      <c r="J270" s="3">
        <v>101</v>
      </c>
      <c r="K270" s="3" t="str">
        <f>TEXT(Sales_Clean_Data[[#This Row],[Order_Date]],"mmm")</f>
        <v>Jun</v>
      </c>
    </row>
    <row r="271" spans="1:11" x14ac:dyDescent="0.25">
      <c r="A271" t="s">
        <v>483</v>
      </c>
      <c r="B271" s="1" t="s">
        <v>484</v>
      </c>
      <c r="C271" t="s">
        <v>27</v>
      </c>
      <c r="D271" t="s">
        <v>37</v>
      </c>
      <c r="E271" t="s">
        <v>58</v>
      </c>
      <c r="F271" t="s">
        <v>15</v>
      </c>
      <c r="G271" s="2">
        <v>1</v>
      </c>
      <c r="H271" s="3">
        <v>477</v>
      </c>
      <c r="I271" s="3">
        <v>353</v>
      </c>
      <c r="J271" s="3">
        <v>124</v>
      </c>
      <c r="K271" s="3" t="str">
        <f>TEXT(Sales_Clean_Data[[#This Row],[Order_Date]],"mmm")</f>
        <v>Jun</v>
      </c>
    </row>
    <row r="272" spans="1:11" x14ac:dyDescent="0.25">
      <c r="A272" t="s">
        <v>485</v>
      </c>
      <c r="B272" s="1" t="s">
        <v>55</v>
      </c>
      <c r="C272" t="s">
        <v>12</v>
      </c>
      <c r="D272" t="s">
        <v>28</v>
      </c>
      <c r="E272" t="s">
        <v>38</v>
      </c>
      <c r="F272" t="s">
        <v>21</v>
      </c>
      <c r="G272" s="2">
        <v>3</v>
      </c>
      <c r="H272" s="3">
        <v>1119</v>
      </c>
      <c r="I272" s="3">
        <v>674</v>
      </c>
      <c r="J272" s="3">
        <v>445</v>
      </c>
      <c r="K272" s="3" t="str">
        <f>TEXT(Sales_Clean_Data[[#This Row],[Order_Date]],"mmm")</f>
        <v>Jul</v>
      </c>
    </row>
    <row r="273" spans="1:11" x14ac:dyDescent="0.25">
      <c r="A273" t="s">
        <v>486</v>
      </c>
      <c r="B273" s="1" t="s">
        <v>330</v>
      </c>
      <c r="C273" t="s">
        <v>18</v>
      </c>
      <c r="D273" t="s">
        <v>37</v>
      </c>
      <c r="E273" t="s">
        <v>20</v>
      </c>
      <c r="F273" t="s">
        <v>21</v>
      </c>
      <c r="G273" s="2">
        <v>1</v>
      </c>
      <c r="H273" s="3">
        <v>509</v>
      </c>
      <c r="I273" s="3">
        <v>379</v>
      </c>
      <c r="J273" s="3">
        <v>130</v>
      </c>
      <c r="K273" s="3" t="str">
        <f>TEXT(Sales_Clean_Data[[#This Row],[Order_Date]],"mmm")</f>
        <v>Nov</v>
      </c>
    </row>
    <row r="274" spans="1:11" x14ac:dyDescent="0.25">
      <c r="A274" t="s">
        <v>487</v>
      </c>
      <c r="B274" s="1" t="s">
        <v>167</v>
      </c>
      <c r="C274" t="s">
        <v>27</v>
      </c>
      <c r="D274" t="s">
        <v>47</v>
      </c>
      <c r="E274" t="s">
        <v>38</v>
      </c>
      <c r="F274" t="s">
        <v>21</v>
      </c>
      <c r="G274" s="2">
        <v>4</v>
      </c>
      <c r="H274" s="3">
        <v>3660</v>
      </c>
      <c r="I274" s="3">
        <v>2233</v>
      </c>
      <c r="J274" s="3">
        <v>1427</v>
      </c>
      <c r="K274" s="3" t="str">
        <f>TEXT(Sales_Clean_Data[[#This Row],[Order_Date]],"mmm")</f>
        <v>May</v>
      </c>
    </row>
    <row r="275" spans="1:11" x14ac:dyDescent="0.25">
      <c r="A275" t="s">
        <v>488</v>
      </c>
      <c r="B275" s="1" t="s">
        <v>233</v>
      </c>
      <c r="C275" t="s">
        <v>12</v>
      </c>
      <c r="D275" t="s">
        <v>32</v>
      </c>
      <c r="E275" t="s">
        <v>20</v>
      </c>
      <c r="F275" t="s">
        <v>21</v>
      </c>
      <c r="G275" s="2">
        <v>3</v>
      </c>
      <c r="H275" s="3">
        <v>2724</v>
      </c>
      <c r="I275" s="3">
        <v>1707</v>
      </c>
      <c r="J275" s="3">
        <v>1017</v>
      </c>
      <c r="K275" s="3" t="str">
        <f>TEXT(Sales_Clean_Data[[#This Row],[Order_Date]],"mmm")</f>
        <v>Jan</v>
      </c>
    </row>
    <row r="276" spans="1:11" x14ac:dyDescent="0.25">
      <c r="A276" t="s">
        <v>489</v>
      </c>
      <c r="B276" s="1" t="s">
        <v>490</v>
      </c>
      <c r="C276" t="s">
        <v>24</v>
      </c>
      <c r="D276" t="s">
        <v>28</v>
      </c>
      <c r="E276" t="s">
        <v>58</v>
      </c>
      <c r="F276" t="s">
        <v>15</v>
      </c>
      <c r="G276" s="2">
        <v>4</v>
      </c>
      <c r="H276" s="3">
        <v>4744</v>
      </c>
      <c r="I276" s="3">
        <v>3493</v>
      </c>
      <c r="J276" s="3">
        <v>1251</v>
      </c>
      <c r="K276" s="3" t="str">
        <f>TEXT(Sales_Clean_Data[[#This Row],[Order_Date]],"mmm")</f>
        <v>Jan</v>
      </c>
    </row>
    <row r="277" spans="1:11" x14ac:dyDescent="0.25">
      <c r="A277" t="s">
        <v>491</v>
      </c>
      <c r="B277" s="1" t="s">
        <v>419</v>
      </c>
      <c r="C277" t="s">
        <v>18</v>
      </c>
      <c r="D277" t="s">
        <v>37</v>
      </c>
      <c r="E277" t="s">
        <v>20</v>
      </c>
      <c r="F277" t="s">
        <v>21</v>
      </c>
      <c r="G277" s="2">
        <v>2</v>
      </c>
      <c r="H277" s="3">
        <v>1040</v>
      </c>
      <c r="I277" s="3">
        <v>777</v>
      </c>
      <c r="J277" s="3">
        <v>263</v>
      </c>
      <c r="K277" s="3" t="str">
        <f>TEXT(Sales_Clean_Data[[#This Row],[Order_Date]],"mmm")</f>
        <v>Dec</v>
      </c>
    </row>
    <row r="278" spans="1:11" x14ac:dyDescent="0.25">
      <c r="A278" t="s">
        <v>492</v>
      </c>
      <c r="B278" s="1" t="s">
        <v>46</v>
      </c>
      <c r="C278" t="s">
        <v>12</v>
      </c>
      <c r="D278" t="s">
        <v>37</v>
      </c>
      <c r="E278" t="s">
        <v>14</v>
      </c>
      <c r="F278" t="s">
        <v>15</v>
      </c>
      <c r="G278" s="2">
        <v>5</v>
      </c>
      <c r="H278" s="3">
        <v>4935</v>
      </c>
      <c r="I278" s="3">
        <v>3162</v>
      </c>
      <c r="J278" s="3">
        <v>1773</v>
      </c>
      <c r="K278" s="3" t="str">
        <f>TEXT(Sales_Clean_Data[[#This Row],[Order_Date]],"mmm")</f>
        <v>Jul</v>
      </c>
    </row>
    <row r="279" spans="1:11" x14ac:dyDescent="0.25">
      <c r="A279" t="s">
        <v>493</v>
      </c>
      <c r="B279" s="1" t="s">
        <v>113</v>
      </c>
      <c r="C279" t="s">
        <v>24</v>
      </c>
      <c r="D279" t="s">
        <v>28</v>
      </c>
      <c r="E279" t="s">
        <v>20</v>
      </c>
      <c r="F279" t="s">
        <v>21</v>
      </c>
      <c r="G279" s="2">
        <v>5</v>
      </c>
      <c r="H279" s="3">
        <v>3970</v>
      </c>
      <c r="I279" s="3">
        <v>2489</v>
      </c>
      <c r="J279" s="3">
        <v>1481</v>
      </c>
      <c r="K279" s="3" t="str">
        <f>TEXT(Sales_Clean_Data[[#This Row],[Order_Date]],"mmm")</f>
        <v>Aug</v>
      </c>
    </row>
    <row r="280" spans="1:11" x14ac:dyDescent="0.25">
      <c r="A280" t="s">
        <v>494</v>
      </c>
      <c r="B280" s="1" t="s">
        <v>345</v>
      </c>
      <c r="C280" t="s">
        <v>27</v>
      </c>
      <c r="D280" t="s">
        <v>47</v>
      </c>
      <c r="E280" t="s">
        <v>20</v>
      </c>
      <c r="F280" t="s">
        <v>21</v>
      </c>
      <c r="G280" s="2">
        <v>2</v>
      </c>
      <c r="H280" s="3">
        <v>902</v>
      </c>
      <c r="I280" s="3">
        <v>565</v>
      </c>
      <c r="J280" s="3">
        <v>337</v>
      </c>
      <c r="K280" s="3" t="str">
        <f>TEXT(Sales_Clean_Data[[#This Row],[Order_Date]],"mmm")</f>
        <v>Jul</v>
      </c>
    </row>
    <row r="281" spans="1:11" x14ac:dyDescent="0.25">
      <c r="A281" t="s">
        <v>495</v>
      </c>
      <c r="B281" s="1" t="s">
        <v>496</v>
      </c>
      <c r="C281" t="s">
        <v>12</v>
      </c>
      <c r="D281" t="s">
        <v>32</v>
      </c>
      <c r="E281" t="s">
        <v>20</v>
      </c>
      <c r="F281" t="s">
        <v>21</v>
      </c>
      <c r="G281" s="2">
        <v>2</v>
      </c>
      <c r="H281" s="3">
        <v>426</v>
      </c>
      <c r="I281" s="3">
        <v>259</v>
      </c>
      <c r="J281" s="3">
        <v>167</v>
      </c>
      <c r="K281" s="3" t="str">
        <f>TEXT(Sales_Clean_Data[[#This Row],[Order_Date]],"mmm")</f>
        <v>Feb</v>
      </c>
    </row>
    <row r="282" spans="1:11" x14ac:dyDescent="0.25">
      <c r="A282" t="s">
        <v>497</v>
      </c>
      <c r="B282" s="1" t="s">
        <v>178</v>
      </c>
      <c r="C282" t="s">
        <v>18</v>
      </c>
      <c r="D282" t="s">
        <v>37</v>
      </c>
      <c r="E282" t="s">
        <v>38</v>
      </c>
      <c r="F282" t="s">
        <v>21</v>
      </c>
      <c r="G282" s="2">
        <v>4</v>
      </c>
      <c r="H282" s="3">
        <v>1560</v>
      </c>
      <c r="I282" s="3">
        <v>1107</v>
      </c>
      <c r="J282" s="3">
        <v>453</v>
      </c>
      <c r="K282" s="3" t="str">
        <f>TEXT(Sales_Clean_Data[[#This Row],[Order_Date]],"mmm")</f>
        <v>May</v>
      </c>
    </row>
    <row r="283" spans="1:11" x14ac:dyDescent="0.25">
      <c r="A283" t="s">
        <v>498</v>
      </c>
      <c r="B283" s="1" t="s">
        <v>499</v>
      </c>
      <c r="C283" t="s">
        <v>12</v>
      </c>
      <c r="D283" t="s">
        <v>47</v>
      </c>
      <c r="E283" t="s">
        <v>38</v>
      </c>
      <c r="F283" t="s">
        <v>21</v>
      </c>
      <c r="G283" s="2">
        <v>1</v>
      </c>
      <c r="H283" s="3">
        <v>1046</v>
      </c>
      <c r="I283" s="3">
        <v>722</v>
      </c>
      <c r="J283" s="3">
        <v>324</v>
      </c>
      <c r="K283" s="3" t="str">
        <f>TEXT(Sales_Clean_Data[[#This Row],[Order_Date]],"mmm")</f>
        <v>Jul</v>
      </c>
    </row>
    <row r="284" spans="1:11" x14ac:dyDescent="0.25">
      <c r="A284" t="s">
        <v>500</v>
      </c>
      <c r="B284" s="1" t="s">
        <v>132</v>
      </c>
      <c r="C284" t="s">
        <v>12</v>
      </c>
      <c r="D284" t="s">
        <v>28</v>
      </c>
      <c r="E284" t="s">
        <v>29</v>
      </c>
      <c r="F284" t="s">
        <v>15</v>
      </c>
      <c r="G284" s="2">
        <v>3</v>
      </c>
      <c r="H284" s="3">
        <v>1215</v>
      </c>
      <c r="I284" s="3">
        <v>917</v>
      </c>
      <c r="J284" s="3">
        <v>298</v>
      </c>
      <c r="K284" s="3" t="str">
        <f>TEXT(Sales_Clean_Data[[#This Row],[Order_Date]],"mmm")</f>
        <v>Mar</v>
      </c>
    </row>
    <row r="285" spans="1:11" x14ac:dyDescent="0.25">
      <c r="A285" t="s">
        <v>501</v>
      </c>
      <c r="B285" s="1" t="s">
        <v>502</v>
      </c>
      <c r="C285" t="s">
        <v>18</v>
      </c>
      <c r="D285" t="s">
        <v>37</v>
      </c>
      <c r="E285" t="s">
        <v>29</v>
      </c>
      <c r="F285" t="s">
        <v>15</v>
      </c>
      <c r="G285" s="2">
        <v>5</v>
      </c>
      <c r="H285" s="3">
        <v>1070</v>
      </c>
      <c r="I285" s="3">
        <v>662</v>
      </c>
      <c r="J285" s="3">
        <v>408</v>
      </c>
      <c r="K285" s="3" t="str">
        <f>TEXT(Sales_Clean_Data[[#This Row],[Order_Date]],"mmm")</f>
        <v>Aug</v>
      </c>
    </row>
    <row r="286" spans="1:11" x14ac:dyDescent="0.25">
      <c r="A286" t="s">
        <v>503</v>
      </c>
      <c r="B286" s="1" t="s">
        <v>150</v>
      </c>
      <c r="C286" t="s">
        <v>12</v>
      </c>
      <c r="D286" t="s">
        <v>19</v>
      </c>
      <c r="E286" t="s">
        <v>20</v>
      </c>
      <c r="F286" t="s">
        <v>21</v>
      </c>
      <c r="G286" s="2">
        <v>3</v>
      </c>
      <c r="H286" s="3">
        <v>2532</v>
      </c>
      <c r="I286" s="3">
        <v>1846</v>
      </c>
      <c r="J286" s="3">
        <v>686</v>
      </c>
      <c r="K286" s="3" t="str">
        <f>TEXT(Sales_Clean_Data[[#This Row],[Order_Date]],"mmm")</f>
        <v>Nov</v>
      </c>
    </row>
    <row r="287" spans="1:11" x14ac:dyDescent="0.25">
      <c r="A287" t="s">
        <v>504</v>
      </c>
      <c r="B287" s="1" t="s">
        <v>97</v>
      </c>
      <c r="C287" t="s">
        <v>24</v>
      </c>
      <c r="D287" t="s">
        <v>13</v>
      </c>
      <c r="E287" t="s">
        <v>29</v>
      </c>
      <c r="F287" t="s">
        <v>15</v>
      </c>
      <c r="G287" s="2">
        <v>2</v>
      </c>
      <c r="H287" s="3">
        <v>1494</v>
      </c>
      <c r="I287" s="3">
        <v>1088</v>
      </c>
      <c r="J287" s="3">
        <v>406</v>
      </c>
      <c r="K287" s="3" t="str">
        <f>TEXT(Sales_Clean_Data[[#This Row],[Order_Date]],"mmm")</f>
        <v>May</v>
      </c>
    </row>
    <row r="288" spans="1:11" x14ac:dyDescent="0.25">
      <c r="A288" t="s">
        <v>505</v>
      </c>
      <c r="B288" s="1" t="s">
        <v>213</v>
      </c>
      <c r="C288" t="s">
        <v>27</v>
      </c>
      <c r="D288" t="s">
        <v>47</v>
      </c>
      <c r="E288" t="s">
        <v>38</v>
      </c>
      <c r="F288" t="s">
        <v>21</v>
      </c>
      <c r="G288" s="2">
        <v>1</v>
      </c>
      <c r="H288" s="3">
        <v>508</v>
      </c>
      <c r="I288" s="3">
        <v>380</v>
      </c>
      <c r="J288" s="3">
        <v>128</v>
      </c>
      <c r="K288" s="3" t="str">
        <f>TEXT(Sales_Clean_Data[[#This Row],[Order_Date]],"mmm")</f>
        <v>Apr</v>
      </c>
    </row>
    <row r="289" spans="1:11" x14ac:dyDescent="0.25">
      <c r="A289" t="s">
        <v>506</v>
      </c>
      <c r="B289" s="1" t="s">
        <v>499</v>
      </c>
      <c r="C289" t="s">
        <v>12</v>
      </c>
      <c r="D289" t="s">
        <v>47</v>
      </c>
      <c r="E289" t="s">
        <v>14</v>
      </c>
      <c r="F289" t="s">
        <v>15</v>
      </c>
      <c r="G289" s="2">
        <v>2</v>
      </c>
      <c r="H289" s="3">
        <v>1780</v>
      </c>
      <c r="I289" s="3">
        <v>1405</v>
      </c>
      <c r="J289" s="3">
        <v>375</v>
      </c>
      <c r="K289" s="3" t="str">
        <f>TEXT(Sales_Clean_Data[[#This Row],[Order_Date]],"mmm")</f>
        <v>Jul</v>
      </c>
    </row>
    <row r="290" spans="1:11" x14ac:dyDescent="0.25">
      <c r="A290" t="s">
        <v>507</v>
      </c>
      <c r="B290" s="1" t="s">
        <v>508</v>
      </c>
      <c r="C290" t="s">
        <v>18</v>
      </c>
      <c r="D290" t="s">
        <v>19</v>
      </c>
      <c r="E290" t="s">
        <v>38</v>
      </c>
      <c r="F290" t="s">
        <v>21</v>
      </c>
      <c r="G290" s="2">
        <v>3</v>
      </c>
      <c r="H290" s="3">
        <v>885</v>
      </c>
      <c r="I290" s="3">
        <v>648</v>
      </c>
      <c r="J290" s="3">
        <v>237</v>
      </c>
      <c r="K290" s="3" t="str">
        <f>TEXT(Sales_Clean_Data[[#This Row],[Order_Date]],"mmm")</f>
        <v>Nov</v>
      </c>
    </row>
    <row r="291" spans="1:11" x14ac:dyDescent="0.25">
      <c r="A291" t="s">
        <v>509</v>
      </c>
      <c r="B291" s="1" t="s">
        <v>475</v>
      </c>
      <c r="C291" t="s">
        <v>24</v>
      </c>
      <c r="D291" t="s">
        <v>13</v>
      </c>
      <c r="E291" t="s">
        <v>38</v>
      </c>
      <c r="F291" t="s">
        <v>21</v>
      </c>
      <c r="G291" s="2">
        <v>5</v>
      </c>
      <c r="H291" s="3">
        <v>1315</v>
      </c>
      <c r="I291" s="3">
        <v>819</v>
      </c>
      <c r="J291" s="3">
        <v>496</v>
      </c>
      <c r="K291" s="3" t="str">
        <f>TEXT(Sales_Clean_Data[[#This Row],[Order_Date]],"mmm")</f>
        <v>May</v>
      </c>
    </row>
    <row r="292" spans="1:11" x14ac:dyDescent="0.25">
      <c r="A292" t="s">
        <v>510</v>
      </c>
      <c r="B292" s="1" t="s">
        <v>115</v>
      </c>
      <c r="C292" t="s">
        <v>27</v>
      </c>
      <c r="D292" t="s">
        <v>47</v>
      </c>
      <c r="E292" t="s">
        <v>71</v>
      </c>
      <c r="F292" t="s">
        <v>21</v>
      </c>
      <c r="G292" s="2">
        <v>2</v>
      </c>
      <c r="H292" s="3">
        <v>1544</v>
      </c>
      <c r="I292" s="3">
        <v>992</v>
      </c>
      <c r="J292" s="3">
        <v>552</v>
      </c>
      <c r="K292" s="3" t="str">
        <f>TEXT(Sales_Clean_Data[[#This Row],[Order_Date]],"mmm")</f>
        <v>Apr</v>
      </c>
    </row>
    <row r="293" spans="1:11" x14ac:dyDescent="0.25">
      <c r="A293" t="s">
        <v>511</v>
      </c>
      <c r="B293" s="1" t="s">
        <v>379</v>
      </c>
      <c r="C293" t="s">
        <v>24</v>
      </c>
      <c r="D293" t="s">
        <v>37</v>
      </c>
      <c r="E293" t="s">
        <v>29</v>
      </c>
      <c r="F293" t="s">
        <v>15</v>
      </c>
      <c r="G293" s="2">
        <v>3</v>
      </c>
      <c r="H293" s="3">
        <v>2709</v>
      </c>
      <c r="I293" s="3">
        <v>1987</v>
      </c>
      <c r="J293" s="3">
        <v>722</v>
      </c>
      <c r="K293" s="3" t="str">
        <f>TEXT(Sales_Clean_Data[[#This Row],[Order_Date]],"mmm")</f>
        <v>Oct</v>
      </c>
    </row>
    <row r="294" spans="1:11" x14ac:dyDescent="0.25">
      <c r="A294" t="s">
        <v>512</v>
      </c>
      <c r="B294" s="1" t="s">
        <v>257</v>
      </c>
      <c r="C294" t="s">
        <v>27</v>
      </c>
      <c r="D294" t="s">
        <v>47</v>
      </c>
      <c r="E294" t="s">
        <v>58</v>
      </c>
      <c r="F294" t="s">
        <v>15</v>
      </c>
      <c r="G294" s="2">
        <v>3</v>
      </c>
      <c r="H294" s="3">
        <v>2670</v>
      </c>
      <c r="I294" s="3">
        <v>1724</v>
      </c>
      <c r="J294" s="3">
        <v>946</v>
      </c>
      <c r="K294" s="3" t="str">
        <f>TEXT(Sales_Clean_Data[[#This Row],[Order_Date]],"mmm")</f>
        <v>Dec</v>
      </c>
    </row>
    <row r="295" spans="1:11" x14ac:dyDescent="0.25">
      <c r="A295" t="s">
        <v>513</v>
      </c>
      <c r="B295" s="1" t="s">
        <v>514</v>
      </c>
      <c r="C295" t="s">
        <v>12</v>
      </c>
      <c r="D295" t="s">
        <v>32</v>
      </c>
      <c r="E295" t="s">
        <v>20</v>
      </c>
      <c r="F295" t="s">
        <v>21</v>
      </c>
      <c r="G295" s="2">
        <v>3</v>
      </c>
      <c r="H295" s="3">
        <v>2709</v>
      </c>
      <c r="I295" s="3">
        <v>1841</v>
      </c>
      <c r="J295" s="3">
        <v>868</v>
      </c>
      <c r="K295" s="3" t="str">
        <f>TEXT(Sales_Clean_Data[[#This Row],[Order_Date]],"mmm")</f>
        <v>Aug</v>
      </c>
    </row>
    <row r="296" spans="1:11" x14ac:dyDescent="0.25">
      <c r="A296" t="s">
        <v>515</v>
      </c>
      <c r="B296" s="1" t="s">
        <v>516</v>
      </c>
      <c r="C296" t="s">
        <v>12</v>
      </c>
      <c r="D296" t="s">
        <v>47</v>
      </c>
      <c r="E296" t="s">
        <v>20</v>
      </c>
      <c r="F296" t="s">
        <v>21</v>
      </c>
      <c r="G296" s="2">
        <v>4</v>
      </c>
      <c r="H296" s="3">
        <v>1176</v>
      </c>
      <c r="I296" s="3">
        <v>878</v>
      </c>
      <c r="J296" s="3">
        <v>298</v>
      </c>
      <c r="K296" s="3" t="str">
        <f>TEXT(Sales_Clean_Data[[#This Row],[Order_Date]],"mmm")</f>
        <v>Mar</v>
      </c>
    </row>
    <row r="297" spans="1:11" x14ac:dyDescent="0.25">
      <c r="A297" t="s">
        <v>517</v>
      </c>
      <c r="B297" s="1" t="s">
        <v>393</v>
      </c>
      <c r="C297" t="s">
        <v>24</v>
      </c>
      <c r="D297" t="s">
        <v>37</v>
      </c>
      <c r="E297" t="s">
        <v>38</v>
      </c>
      <c r="F297" t="s">
        <v>21</v>
      </c>
      <c r="G297" s="2">
        <v>1</v>
      </c>
      <c r="H297" s="3">
        <v>1004</v>
      </c>
      <c r="I297" s="3">
        <v>667</v>
      </c>
      <c r="J297" s="3">
        <v>337</v>
      </c>
      <c r="K297" s="3" t="str">
        <f>TEXT(Sales_Clean_Data[[#This Row],[Order_Date]],"mmm")</f>
        <v>Oct</v>
      </c>
    </row>
    <row r="298" spans="1:11" x14ac:dyDescent="0.25">
      <c r="A298" t="s">
        <v>518</v>
      </c>
      <c r="B298" s="1" t="s">
        <v>519</v>
      </c>
      <c r="C298" t="s">
        <v>24</v>
      </c>
      <c r="D298" t="s">
        <v>37</v>
      </c>
      <c r="E298" t="s">
        <v>38</v>
      </c>
      <c r="F298" t="s">
        <v>21</v>
      </c>
      <c r="G298" s="2">
        <v>5</v>
      </c>
      <c r="H298" s="3">
        <v>4325</v>
      </c>
      <c r="I298" s="3">
        <v>2623</v>
      </c>
      <c r="J298" s="3">
        <v>1702</v>
      </c>
      <c r="K298" s="3" t="str">
        <f>TEXT(Sales_Clean_Data[[#This Row],[Order_Date]],"mmm")</f>
        <v>Jan</v>
      </c>
    </row>
    <row r="299" spans="1:11" x14ac:dyDescent="0.25">
      <c r="A299" t="s">
        <v>520</v>
      </c>
      <c r="B299" s="1" t="s">
        <v>521</v>
      </c>
      <c r="C299" t="s">
        <v>27</v>
      </c>
      <c r="D299" t="s">
        <v>19</v>
      </c>
      <c r="E299" t="s">
        <v>29</v>
      </c>
      <c r="F299" t="s">
        <v>15</v>
      </c>
      <c r="G299" s="2">
        <v>3</v>
      </c>
      <c r="H299" s="3">
        <v>3189</v>
      </c>
      <c r="I299" s="3">
        <v>2333</v>
      </c>
      <c r="J299" s="3">
        <v>856</v>
      </c>
      <c r="K299" s="3" t="str">
        <f>TEXT(Sales_Clean_Data[[#This Row],[Order_Date]],"mmm")</f>
        <v>Nov</v>
      </c>
    </row>
    <row r="300" spans="1:11" x14ac:dyDescent="0.25">
      <c r="A300" t="s">
        <v>522</v>
      </c>
      <c r="B300" s="1" t="s">
        <v>356</v>
      </c>
      <c r="C300" t="s">
        <v>18</v>
      </c>
      <c r="D300" t="s">
        <v>32</v>
      </c>
      <c r="E300" t="s">
        <v>20</v>
      </c>
      <c r="F300" t="s">
        <v>21</v>
      </c>
      <c r="G300" s="2">
        <v>4</v>
      </c>
      <c r="H300" s="3">
        <v>792</v>
      </c>
      <c r="I300" s="3">
        <v>569</v>
      </c>
      <c r="J300" s="3">
        <v>223</v>
      </c>
      <c r="K300" s="3" t="str">
        <f>TEXT(Sales_Clean_Data[[#This Row],[Order_Date]],"mmm")</f>
        <v>Sep</v>
      </c>
    </row>
    <row r="301" spans="1:11" x14ac:dyDescent="0.25">
      <c r="A301" t="s">
        <v>523</v>
      </c>
      <c r="B301" s="1" t="s">
        <v>524</v>
      </c>
      <c r="C301" t="s">
        <v>24</v>
      </c>
      <c r="D301" t="s">
        <v>47</v>
      </c>
      <c r="E301" t="s">
        <v>14</v>
      </c>
      <c r="F301" t="s">
        <v>15</v>
      </c>
      <c r="G301" s="2">
        <v>3</v>
      </c>
      <c r="H301" s="3">
        <v>459</v>
      </c>
      <c r="I301" s="3">
        <v>305</v>
      </c>
      <c r="J301" s="3">
        <v>154</v>
      </c>
      <c r="K301" s="3" t="str">
        <f>TEXT(Sales_Clean_Data[[#This Row],[Order_Date]],"mmm")</f>
        <v>Sep</v>
      </c>
    </row>
  </sheetData>
  <dataConsolidate/>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topLeftCell="A16" workbookViewId="0">
      <selection activeCell="K24" sqref="K24"/>
    </sheetView>
  </sheetViews>
  <sheetFormatPr defaultRowHeight="15" x14ac:dyDescent="0.25"/>
  <cols>
    <col min="1" max="1" width="11.140625" customWidth="1"/>
    <col min="2" max="2" width="13.7109375" customWidth="1"/>
    <col min="3" max="3" width="10.42578125" customWidth="1"/>
    <col min="4" max="4" width="13.85546875" customWidth="1"/>
    <col min="5" max="5" width="11.140625" customWidth="1"/>
    <col min="6" max="6" width="13.42578125" customWidth="1"/>
    <col min="7" max="7" width="10.85546875" customWidth="1"/>
    <col min="8" max="8" width="11" style="3" customWidth="1"/>
    <col min="9" max="10" width="9.140625" style="3"/>
  </cols>
  <sheetData>
    <row r="1" spans="1:10" x14ac:dyDescent="0.25">
      <c r="A1" t="s">
        <v>0</v>
      </c>
      <c r="B1" t="s">
        <v>1</v>
      </c>
      <c r="C1" t="s">
        <v>2</v>
      </c>
      <c r="D1" t="s">
        <v>3</v>
      </c>
      <c r="E1" t="s">
        <v>4</v>
      </c>
      <c r="F1" t="s">
        <v>5</v>
      </c>
      <c r="G1" t="s">
        <v>6</v>
      </c>
      <c r="H1" s="3" t="s">
        <v>7</v>
      </c>
      <c r="I1" s="3" t="s">
        <v>8</v>
      </c>
      <c r="J1" s="3" t="s">
        <v>9</v>
      </c>
    </row>
    <row r="2" spans="1:10" x14ac:dyDescent="0.25">
      <c r="A2" t="s">
        <v>10</v>
      </c>
      <c r="B2" s="1" t="s">
        <v>11</v>
      </c>
      <c r="C2" t="s">
        <v>12</v>
      </c>
      <c r="D2" t="s">
        <v>13</v>
      </c>
      <c r="E2" t="s">
        <v>14</v>
      </c>
      <c r="F2" t="s">
        <v>15</v>
      </c>
      <c r="G2" s="2">
        <v>1</v>
      </c>
      <c r="H2" s="3">
        <v>443</v>
      </c>
      <c r="I2" s="3">
        <v>299</v>
      </c>
      <c r="J2" s="3">
        <v>144</v>
      </c>
    </row>
    <row r="3" spans="1:10" x14ac:dyDescent="0.25">
      <c r="A3" t="s">
        <v>16</v>
      </c>
      <c r="B3" s="1" t="s">
        <v>17</v>
      </c>
      <c r="C3" t="s">
        <v>18</v>
      </c>
      <c r="D3" t="s">
        <v>19</v>
      </c>
      <c r="E3" t="s">
        <v>20</v>
      </c>
      <c r="F3" t="s">
        <v>21</v>
      </c>
      <c r="G3" s="2">
        <v>4</v>
      </c>
      <c r="H3" s="3">
        <v>1820</v>
      </c>
      <c r="I3" s="3">
        <v>1337</v>
      </c>
      <c r="J3" s="3">
        <v>483</v>
      </c>
    </row>
    <row r="4" spans="1:10" x14ac:dyDescent="0.25">
      <c r="A4" t="s">
        <v>22</v>
      </c>
      <c r="B4" s="1" t="s">
        <v>23</v>
      </c>
      <c r="C4" t="s">
        <v>24</v>
      </c>
      <c r="D4" t="s">
        <v>13</v>
      </c>
      <c r="E4" t="s">
        <v>14</v>
      </c>
      <c r="F4" t="s">
        <v>15</v>
      </c>
      <c r="G4" s="2">
        <v>4</v>
      </c>
      <c r="H4" s="3">
        <v>2212</v>
      </c>
      <c r="I4" s="3">
        <v>1493</v>
      </c>
      <c r="J4" s="3">
        <v>719</v>
      </c>
    </row>
    <row r="5" spans="1:10" x14ac:dyDescent="0.25">
      <c r="A5" t="s">
        <v>25</v>
      </c>
      <c r="B5" s="1" t="s">
        <v>26</v>
      </c>
      <c r="C5" t="s">
        <v>27</v>
      </c>
      <c r="D5" t="s">
        <v>28</v>
      </c>
      <c r="E5" t="s">
        <v>29</v>
      </c>
      <c r="F5" t="s">
        <v>15</v>
      </c>
      <c r="G5" s="2">
        <v>5</v>
      </c>
      <c r="H5" s="3">
        <v>5855</v>
      </c>
      <c r="I5" s="3">
        <v>3635</v>
      </c>
      <c r="J5" s="3">
        <v>2220</v>
      </c>
    </row>
    <row r="6" spans="1:10" x14ac:dyDescent="0.25">
      <c r="A6" t="s">
        <v>30</v>
      </c>
      <c r="B6" s="1" t="s">
        <v>31</v>
      </c>
      <c r="C6" t="s">
        <v>18</v>
      </c>
      <c r="D6" t="s">
        <v>32</v>
      </c>
      <c r="E6" t="s">
        <v>14</v>
      </c>
      <c r="F6" t="s">
        <v>15</v>
      </c>
      <c r="G6" s="2">
        <v>3</v>
      </c>
      <c r="H6" s="3">
        <v>1248</v>
      </c>
      <c r="I6" s="3">
        <v>763</v>
      </c>
      <c r="J6" s="3">
        <v>485</v>
      </c>
    </row>
    <row r="7" spans="1:10" x14ac:dyDescent="0.25">
      <c r="A7" t="s">
        <v>33</v>
      </c>
      <c r="B7" s="1" t="s">
        <v>34</v>
      </c>
      <c r="C7" t="s">
        <v>12</v>
      </c>
      <c r="D7" t="s">
        <v>32</v>
      </c>
      <c r="E7" t="s">
        <v>14</v>
      </c>
      <c r="F7" t="s">
        <v>15</v>
      </c>
      <c r="G7" s="2">
        <v>4</v>
      </c>
      <c r="H7" s="3">
        <v>624</v>
      </c>
      <c r="I7" s="3">
        <v>481</v>
      </c>
      <c r="J7" s="3">
        <v>143</v>
      </c>
    </row>
    <row r="8" spans="1:10" x14ac:dyDescent="0.25">
      <c r="A8" t="s">
        <v>35</v>
      </c>
      <c r="B8" s="1" t="s">
        <v>36</v>
      </c>
      <c r="C8" t="s">
        <v>12</v>
      </c>
      <c r="D8" t="s">
        <v>37</v>
      </c>
      <c r="E8" t="s">
        <v>38</v>
      </c>
      <c r="F8" t="s">
        <v>21</v>
      </c>
      <c r="G8" s="2">
        <v>4</v>
      </c>
      <c r="H8" s="3">
        <v>864</v>
      </c>
      <c r="I8" s="3">
        <v>592</v>
      </c>
      <c r="J8" s="3">
        <v>272</v>
      </c>
    </row>
    <row r="9" spans="1:10" x14ac:dyDescent="0.25">
      <c r="A9" t="s">
        <v>39</v>
      </c>
      <c r="B9" s="1" t="s">
        <v>40</v>
      </c>
      <c r="C9" t="s">
        <v>27</v>
      </c>
      <c r="D9" t="s">
        <v>37</v>
      </c>
      <c r="E9" t="s">
        <v>20</v>
      </c>
      <c r="F9" t="s">
        <v>21</v>
      </c>
      <c r="G9" s="2">
        <v>4</v>
      </c>
      <c r="H9" s="3">
        <v>4372</v>
      </c>
      <c r="I9" s="3">
        <v>3159</v>
      </c>
      <c r="J9" s="3">
        <v>1213</v>
      </c>
    </row>
    <row r="10" spans="1:10" x14ac:dyDescent="0.25">
      <c r="A10" t="s">
        <v>41</v>
      </c>
      <c r="B10" s="1" t="s">
        <v>42</v>
      </c>
      <c r="C10" t="s">
        <v>27</v>
      </c>
      <c r="D10" t="s">
        <v>13</v>
      </c>
      <c r="E10" t="s">
        <v>14</v>
      </c>
      <c r="F10" t="s">
        <v>15</v>
      </c>
      <c r="G10" s="2">
        <v>2</v>
      </c>
      <c r="H10" s="3">
        <v>1910</v>
      </c>
      <c r="I10" s="3">
        <v>1500</v>
      </c>
      <c r="J10" s="3">
        <v>410</v>
      </c>
    </row>
    <row r="11" spans="1:10" x14ac:dyDescent="0.25">
      <c r="A11" t="s">
        <v>43</v>
      </c>
      <c r="B11" s="1" t="s">
        <v>44</v>
      </c>
      <c r="C11" t="s">
        <v>18</v>
      </c>
      <c r="D11" t="s">
        <v>28</v>
      </c>
      <c r="E11" t="s">
        <v>14</v>
      </c>
      <c r="F11" t="s">
        <v>15</v>
      </c>
      <c r="G11" s="2">
        <v>5</v>
      </c>
      <c r="H11" s="3">
        <v>1125</v>
      </c>
      <c r="I11" s="3">
        <v>733</v>
      </c>
      <c r="J11" s="3">
        <v>392</v>
      </c>
    </row>
    <row r="12" spans="1:10" x14ac:dyDescent="0.25">
      <c r="A12" t="s">
        <v>45</v>
      </c>
      <c r="B12" s="1" t="s">
        <v>46</v>
      </c>
      <c r="C12" t="s">
        <v>24</v>
      </c>
      <c r="D12" t="s">
        <v>47</v>
      </c>
      <c r="E12" t="s">
        <v>38</v>
      </c>
      <c r="F12" t="s">
        <v>21</v>
      </c>
      <c r="G12" s="2">
        <v>4</v>
      </c>
      <c r="H12" s="3">
        <v>964</v>
      </c>
      <c r="I12" s="3">
        <v>680</v>
      </c>
      <c r="J12" s="3">
        <v>284</v>
      </c>
    </row>
    <row r="13" spans="1:10" x14ac:dyDescent="0.25">
      <c r="A13" t="s">
        <v>48</v>
      </c>
      <c r="B13" s="1" t="s">
        <v>49</v>
      </c>
      <c r="C13" t="s">
        <v>12</v>
      </c>
      <c r="D13" t="s">
        <v>28</v>
      </c>
      <c r="E13" t="s">
        <v>14</v>
      </c>
      <c r="F13" t="s">
        <v>15</v>
      </c>
      <c r="G13" s="2">
        <v>2</v>
      </c>
      <c r="H13" s="3">
        <v>292</v>
      </c>
      <c r="I13" s="3">
        <v>184</v>
      </c>
      <c r="J13" s="3">
        <v>108</v>
      </c>
    </row>
    <row r="14" spans="1:10" x14ac:dyDescent="0.25">
      <c r="A14" t="s">
        <v>50</v>
      </c>
      <c r="B14" s="1" t="s">
        <v>51</v>
      </c>
      <c r="C14" t="s">
        <v>24</v>
      </c>
      <c r="D14" t="s">
        <v>19</v>
      </c>
      <c r="E14" t="s">
        <v>20</v>
      </c>
      <c r="F14" t="s">
        <v>21</v>
      </c>
      <c r="G14" s="2">
        <v>3</v>
      </c>
      <c r="H14" s="3">
        <v>2988</v>
      </c>
      <c r="I14" s="3">
        <v>1847</v>
      </c>
      <c r="J14" s="3">
        <v>1141</v>
      </c>
    </row>
    <row r="15" spans="1:10" x14ac:dyDescent="0.25">
      <c r="A15" t="s">
        <v>52</v>
      </c>
      <c r="B15" s="1" t="s">
        <v>53</v>
      </c>
      <c r="C15" t="s">
        <v>12</v>
      </c>
      <c r="D15" t="s">
        <v>47</v>
      </c>
      <c r="E15" t="s">
        <v>20</v>
      </c>
      <c r="F15" t="s">
        <v>21</v>
      </c>
      <c r="G15" s="2">
        <v>3</v>
      </c>
      <c r="H15" s="3">
        <v>2136</v>
      </c>
      <c r="I15" s="3">
        <v>1440</v>
      </c>
      <c r="J15" s="3">
        <v>696</v>
      </c>
    </row>
    <row r="16" spans="1:10" x14ac:dyDescent="0.25">
      <c r="A16" t="s">
        <v>54</v>
      </c>
      <c r="B16" s="1" t="s">
        <v>55</v>
      </c>
      <c r="C16" t="s">
        <v>18</v>
      </c>
      <c r="D16" t="s">
        <v>19</v>
      </c>
      <c r="E16" t="s">
        <v>20</v>
      </c>
      <c r="F16" t="s">
        <v>21</v>
      </c>
      <c r="G16" s="2">
        <v>4</v>
      </c>
      <c r="H16" s="3">
        <v>804</v>
      </c>
      <c r="I16" s="3">
        <v>485</v>
      </c>
      <c r="J16" s="3">
        <v>319</v>
      </c>
    </row>
    <row r="17" spans="1:10" x14ac:dyDescent="0.25">
      <c r="A17" t="s">
        <v>56</v>
      </c>
      <c r="B17" s="1" t="s">
        <v>57</v>
      </c>
      <c r="C17" t="s">
        <v>24</v>
      </c>
      <c r="D17" t="s">
        <v>37</v>
      </c>
      <c r="E17" t="s">
        <v>58</v>
      </c>
      <c r="F17" t="s">
        <v>15</v>
      </c>
      <c r="G17" s="2">
        <v>4</v>
      </c>
      <c r="H17" s="3">
        <v>4228</v>
      </c>
      <c r="I17" s="3">
        <v>3238</v>
      </c>
      <c r="J17" s="3">
        <v>990</v>
      </c>
    </row>
    <row r="18" spans="1:10" x14ac:dyDescent="0.25">
      <c r="A18" t="s">
        <v>59</v>
      </c>
      <c r="B18" s="1" t="s">
        <v>60</v>
      </c>
      <c r="C18" t="s">
        <v>27</v>
      </c>
      <c r="D18" t="s">
        <v>47</v>
      </c>
      <c r="E18" t="s">
        <v>29</v>
      </c>
      <c r="F18" t="s">
        <v>15</v>
      </c>
      <c r="G18" s="2">
        <v>5</v>
      </c>
      <c r="H18" s="3">
        <v>935</v>
      </c>
      <c r="I18" s="3">
        <v>714</v>
      </c>
      <c r="J18" s="3">
        <v>221</v>
      </c>
    </row>
    <row r="19" spans="1:10" x14ac:dyDescent="0.25">
      <c r="A19" t="s">
        <v>61</v>
      </c>
      <c r="B19" s="1" t="s">
        <v>62</v>
      </c>
      <c r="C19" t="s">
        <v>24</v>
      </c>
      <c r="D19" t="s">
        <v>47</v>
      </c>
      <c r="E19" t="s">
        <v>29</v>
      </c>
      <c r="F19" t="s">
        <v>15</v>
      </c>
      <c r="G19" s="2">
        <v>3</v>
      </c>
      <c r="H19" s="3">
        <v>2547</v>
      </c>
      <c r="I19" s="3">
        <v>1611</v>
      </c>
      <c r="J19" s="3">
        <v>936</v>
      </c>
    </row>
    <row r="20" spans="1:10" x14ac:dyDescent="0.25">
      <c r="A20" t="s">
        <v>63</v>
      </c>
      <c r="B20" s="1" t="s">
        <v>64</v>
      </c>
      <c r="C20" t="s">
        <v>12</v>
      </c>
      <c r="D20" t="s">
        <v>47</v>
      </c>
      <c r="E20" t="s">
        <v>29</v>
      </c>
      <c r="F20" t="s">
        <v>15</v>
      </c>
      <c r="G20" s="2">
        <v>3</v>
      </c>
      <c r="H20" s="3">
        <v>3324</v>
      </c>
      <c r="I20" s="3">
        <v>2310</v>
      </c>
      <c r="J20" s="3">
        <v>1014</v>
      </c>
    </row>
    <row r="21" spans="1:10" x14ac:dyDescent="0.25">
      <c r="A21" t="s">
        <v>65</v>
      </c>
      <c r="B21" s="1" t="s">
        <v>66</v>
      </c>
      <c r="C21" t="s">
        <v>12</v>
      </c>
      <c r="D21" t="s">
        <v>19</v>
      </c>
      <c r="E21" t="s">
        <v>38</v>
      </c>
      <c r="F21" t="s">
        <v>21</v>
      </c>
      <c r="G21" s="2">
        <v>1</v>
      </c>
      <c r="H21" s="3">
        <v>223</v>
      </c>
      <c r="I21" s="3">
        <v>176</v>
      </c>
      <c r="J21" s="3">
        <v>47</v>
      </c>
    </row>
    <row r="22" spans="1:10" x14ac:dyDescent="0.25">
      <c r="A22" t="s">
        <v>67</v>
      </c>
      <c r="B22" s="1" t="s">
        <v>68</v>
      </c>
      <c r="C22" t="s">
        <v>18</v>
      </c>
      <c r="D22" t="s">
        <v>37</v>
      </c>
      <c r="E22" t="s">
        <v>58</v>
      </c>
      <c r="F22" t="s">
        <v>15</v>
      </c>
      <c r="G22" s="2">
        <v>2</v>
      </c>
      <c r="H22" s="3">
        <v>1910</v>
      </c>
      <c r="I22" s="3">
        <v>1493</v>
      </c>
      <c r="J22" s="3">
        <v>417</v>
      </c>
    </row>
    <row r="23" spans="1:10" x14ac:dyDescent="0.25">
      <c r="A23" t="s">
        <v>69</v>
      </c>
      <c r="B23" s="1" t="s">
        <v>70</v>
      </c>
      <c r="C23" t="s">
        <v>18</v>
      </c>
      <c r="D23" t="s">
        <v>37</v>
      </c>
      <c r="E23" t="s">
        <v>71</v>
      </c>
      <c r="F23" t="s">
        <v>21</v>
      </c>
      <c r="G23" s="2">
        <v>1</v>
      </c>
      <c r="H23" s="3">
        <v>1008</v>
      </c>
      <c r="I23" s="3">
        <v>641</v>
      </c>
      <c r="J23" s="3">
        <v>367</v>
      </c>
    </row>
    <row r="24" spans="1:10" x14ac:dyDescent="0.25">
      <c r="A24" t="s">
        <v>72</v>
      </c>
      <c r="B24" s="1" t="s">
        <v>73</v>
      </c>
      <c r="C24" t="s">
        <v>12</v>
      </c>
      <c r="D24" t="s">
        <v>28</v>
      </c>
      <c r="E24" t="s">
        <v>29</v>
      </c>
      <c r="F24" t="s">
        <v>15</v>
      </c>
      <c r="G24" s="2">
        <v>1</v>
      </c>
      <c r="H24" s="3">
        <v>503</v>
      </c>
      <c r="I24" s="3">
        <v>316</v>
      </c>
      <c r="J24" s="3">
        <v>187</v>
      </c>
    </row>
    <row r="25" spans="1:10" x14ac:dyDescent="0.25">
      <c r="A25" t="s">
        <v>74</v>
      </c>
      <c r="B25" s="1" t="s">
        <v>75</v>
      </c>
      <c r="C25" t="s">
        <v>12</v>
      </c>
      <c r="D25" t="s">
        <v>37</v>
      </c>
      <c r="E25" t="s">
        <v>29</v>
      </c>
      <c r="F25" t="s">
        <v>15</v>
      </c>
      <c r="G25" s="2">
        <v>1</v>
      </c>
      <c r="H25" s="3">
        <v>409</v>
      </c>
      <c r="I25" s="3">
        <v>293</v>
      </c>
      <c r="J25" s="3">
        <v>116</v>
      </c>
    </row>
    <row r="26" spans="1:10" x14ac:dyDescent="0.25">
      <c r="A26" t="s">
        <v>76</v>
      </c>
      <c r="B26" s="1" t="s">
        <v>77</v>
      </c>
      <c r="C26" t="s">
        <v>12</v>
      </c>
      <c r="D26" t="s">
        <v>19</v>
      </c>
      <c r="E26" t="s">
        <v>14</v>
      </c>
      <c r="F26" t="s">
        <v>15</v>
      </c>
      <c r="G26" s="2">
        <v>2</v>
      </c>
      <c r="H26" s="3">
        <v>732</v>
      </c>
      <c r="I26" s="3">
        <v>504</v>
      </c>
      <c r="J26" s="3">
        <v>228</v>
      </c>
    </row>
    <row r="27" spans="1:10" x14ac:dyDescent="0.25">
      <c r="A27" t="s">
        <v>78</v>
      </c>
      <c r="B27" s="1" t="s">
        <v>79</v>
      </c>
      <c r="C27" t="s">
        <v>18</v>
      </c>
      <c r="D27" t="s">
        <v>28</v>
      </c>
      <c r="E27" t="s">
        <v>29</v>
      </c>
      <c r="F27" t="s">
        <v>15</v>
      </c>
      <c r="G27" s="2">
        <v>2</v>
      </c>
      <c r="H27" s="3">
        <v>932</v>
      </c>
      <c r="I27" s="3">
        <v>601</v>
      </c>
      <c r="J27" s="3">
        <v>331</v>
      </c>
    </row>
    <row r="28" spans="1:10" x14ac:dyDescent="0.25">
      <c r="A28" t="s">
        <v>80</v>
      </c>
      <c r="B28" s="1" t="s">
        <v>81</v>
      </c>
      <c r="C28" t="s">
        <v>27</v>
      </c>
      <c r="D28" t="s">
        <v>13</v>
      </c>
      <c r="E28" t="s">
        <v>38</v>
      </c>
      <c r="F28" t="s">
        <v>21</v>
      </c>
      <c r="G28" s="2">
        <v>1</v>
      </c>
      <c r="H28" s="3">
        <v>696</v>
      </c>
      <c r="I28" s="3">
        <v>452</v>
      </c>
      <c r="J28" s="3">
        <v>244</v>
      </c>
    </row>
    <row r="29" spans="1:10" x14ac:dyDescent="0.25">
      <c r="A29" t="s">
        <v>82</v>
      </c>
      <c r="B29" s="1" t="s">
        <v>83</v>
      </c>
      <c r="C29" t="s">
        <v>24</v>
      </c>
      <c r="D29" t="s">
        <v>19</v>
      </c>
      <c r="E29" t="s">
        <v>58</v>
      </c>
      <c r="F29" t="s">
        <v>15</v>
      </c>
      <c r="G29" s="2">
        <v>3</v>
      </c>
      <c r="H29" s="3">
        <v>1581</v>
      </c>
      <c r="I29" s="3">
        <v>1120</v>
      </c>
      <c r="J29" s="3">
        <v>461</v>
      </c>
    </row>
    <row r="30" spans="1:10" x14ac:dyDescent="0.25">
      <c r="A30" t="s">
        <v>84</v>
      </c>
      <c r="B30" s="1" t="s">
        <v>85</v>
      </c>
      <c r="C30" t="s">
        <v>27</v>
      </c>
      <c r="D30" t="s">
        <v>13</v>
      </c>
      <c r="E30" t="s">
        <v>14</v>
      </c>
      <c r="F30" t="s">
        <v>15</v>
      </c>
      <c r="G30" s="2">
        <v>5</v>
      </c>
      <c r="H30" s="3">
        <v>3965</v>
      </c>
      <c r="I30" s="3">
        <v>2854</v>
      </c>
      <c r="J30" s="3">
        <v>1111</v>
      </c>
    </row>
    <row r="31" spans="1:10" x14ac:dyDescent="0.25">
      <c r="A31" t="s">
        <v>86</v>
      </c>
      <c r="B31" s="1" t="s">
        <v>87</v>
      </c>
      <c r="C31" t="s">
        <v>24</v>
      </c>
      <c r="D31" t="s">
        <v>13</v>
      </c>
      <c r="E31" t="s">
        <v>29</v>
      </c>
      <c r="F31" t="s">
        <v>15</v>
      </c>
      <c r="G31" s="2">
        <v>5</v>
      </c>
      <c r="H31" s="3">
        <v>3660</v>
      </c>
      <c r="I31" s="3">
        <v>2724</v>
      </c>
      <c r="J31" s="3">
        <v>936</v>
      </c>
    </row>
    <row r="32" spans="1:10" x14ac:dyDescent="0.25">
      <c r="A32" t="s">
        <v>88</v>
      </c>
      <c r="B32" s="1" t="s">
        <v>89</v>
      </c>
      <c r="C32" t="s">
        <v>18</v>
      </c>
      <c r="D32" t="s">
        <v>28</v>
      </c>
      <c r="E32" t="s">
        <v>38</v>
      </c>
      <c r="F32" t="s">
        <v>21</v>
      </c>
      <c r="G32" s="2">
        <v>1</v>
      </c>
      <c r="H32" s="3">
        <v>735</v>
      </c>
      <c r="I32" s="3">
        <v>485</v>
      </c>
      <c r="J32" s="3">
        <v>250</v>
      </c>
    </row>
    <row r="33" spans="1:10" x14ac:dyDescent="0.25">
      <c r="A33" t="s">
        <v>90</v>
      </c>
      <c r="B33" s="1" t="s">
        <v>91</v>
      </c>
      <c r="C33" t="s">
        <v>24</v>
      </c>
      <c r="D33" t="s">
        <v>19</v>
      </c>
      <c r="E33" t="s">
        <v>29</v>
      </c>
      <c r="F33" t="s">
        <v>15</v>
      </c>
      <c r="G33" s="2">
        <v>5</v>
      </c>
      <c r="H33" s="3">
        <v>2910</v>
      </c>
      <c r="I33" s="3">
        <v>2269</v>
      </c>
      <c r="J33" s="3">
        <v>641</v>
      </c>
    </row>
    <row r="34" spans="1:10" x14ac:dyDescent="0.25">
      <c r="A34" t="s">
        <v>92</v>
      </c>
      <c r="B34" s="1" t="s">
        <v>93</v>
      </c>
      <c r="C34" t="s">
        <v>27</v>
      </c>
      <c r="D34" t="s">
        <v>32</v>
      </c>
      <c r="E34" t="s">
        <v>20</v>
      </c>
      <c r="F34" t="s">
        <v>21</v>
      </c>
      <c r="G34" s="2">
        <v>4</v>
      </c>
      <c r="H34" s="3">
        <v>1816</v>
      </c>
      <c r="I34" s="3">
        <v>1213</v>
      </c>
      <c r="J34" s="3">
        <v>603</v>
      </c>
    </row>
    <row r="35" spans="1:10" x14ac:dyDescent="0.25">
      <c r="A35" t="s">
        <v>94</v>
      </c>
      <c r="B35" s="1" t="s">
        <v>95</v>
      </c>
      <c r="C35" t="s">
        <v>18</v>
      </c>
      <c r="D35" t="s">
        <v>37</v>
      </c>
      <c r="E35" t="s">
        <v>38</v>
      </c>
      <c r="F35" t="s">
        <v>21</v>
      </c>
      <c r="G35" s="2">
        <v>1</v>
      </c>
      <c r="H35" s="3">
        <v>1117</v>
      </c>
      <c r="I35" s="3">
        <v>845</v>
      </c>
      <c r="J35" s="3">
        <v>272</v>
      </c>
    </row>
    <row r="36" spans="1:10" x14ac:dyDescent="0.25">
      <c r="A36" t="s">
        <v>96</v>
      </c>
      <c r="B36" s="1" t="s">
        <v>97</v>
      </c>
      <c r="C36" t="s">
        <v>27</v>
      </c>
      <c r="D36" t="s">
        <v>28</v>
      </c>
      <c r="E36" t="s">
        <v>14</v>
      </c>
      <c r="F36" t="s">
        <v>15</v>
      </c>
      <c r="G36" s="2">
        <v>3</v>
      </c>
      <c r="H36" s="3">
        <v>1485</v>
      </c>
      <c r="I36" s="3">
        <v>1073</v>
      </c>
      <c r="J36" s="3">
        <v>412</v>
      </c>
    </row>
    <row r="37" spans="1:10" x14ac:dyDescent="0.25">
      <c r="A37" t="s">
        <v>98</v>
      </c>
      <c r="B37" s="1" t="s">
        <v>99</v>
      </c>
      <c r="C37" t="s">
        <v>24</v>
      </c>
      <c r="D37" t="s">
        <v>47</v>
      </c>
      <c r="E37" t="s">
        <v>20</v>
      </c>
      <c r="F37" t="s">
        <v>21</v>
      </c>
      <c r="G37" s="2">
        <v>4</v>
      </c>
      <c r="H37" s="3">
        <v>1192</v>
      </c>
      <c r="I37" s="3">
        <v>882</v>
      </c>
      <c r="J37" s="3">
        <v>310</v>
      </c>
    </row>
    <row r="38" spans="1:10" x14ac:dyDescent="0.25">
      <c r="A38" t="s">
        <v>100</v>
      </c>
      <c r="B38" s="1" t="s">
        <v>101</v>
      </c>
      <c r="C38" t="s">
        <v>24</v>
      </c>
      <c r="D38" t="s">
        <v>13</v>
      </c>
      <c r="E38" t="s">
        <v>58</v>
      </c>
      <c r="F38" t="s">
        <v>15</v>
      </c>
      <c r="G38" s="2">
        <v>2</v>
      </c>
      <c r="H38" s="3">
        <v>2120</v>
      </c>
      <c r="I38" s="3">
        <v>1594</v>
      </c>
      <c r="J38" s="3">
        <v>526</v>
      </c>
    </row>
    <row r="39" spans="1:10" x14ac:dyDescent="0.25">
      <c r="A39" t="s">
        <v>102</v>
      </c>
      <c r="B39" s="1" t="s">
        <v>103</v>
      </c>
      <c r="C39" t="s">
        <v>27</v>
      </c>
      <c r="D39" t="s">
        <v>13</v>
      </c>
      <c r="E39" t="s">
        <v>58</v>
      </c>
      <c r="F39" t="s">
        <v>15</v>
      </c>
      <c r="G39" s="2">
        <v>3</v>
      </c>
      <c r="H39" s="3">
        <v>3564</v>
      </c>
      <c r="I39" s="3">
        <v>2634</v>
      </c>
      <c r="J39" s="3">
        <v>930</v>
      </c>
    </row>
    <row r="40" spans="1:10" x14ac:dyDescent="0.25">
      <c r="A40" t="s">
        <v>104</v>
      </c>
      <c r="B40" s="1" t="s">
        <v>105</v>
      </c>
      <c r="C40" t="s">
        <v>24</v>
      </c>
      <c r="D40" t="s">
        <v>19</v>
      </c>
      <c r="E40" t="s">
        <v>14</v>
      </c>
      <c r="F40" t="s">
        <v>15</v>
      </c>
      <c r="G40" s="2">
        <v>2</v>
      </c>
      <c r="H40" s="3">
        <v>1498</v>
      </c>
      <c r="I40" s="3">
        <v>1008</v>
      </c>
      <c r="J40" s="3">
        <v>490</v>
      </c>
    </row>
    <row r="41" spans="1:10" x14ac:dyDescent="0.25">
      <c r="A41" t="s">
        <v>106</v>
      </c>
      <c r="B41" s="1" t="s">
        <v>107</v>
      </c>
      <c r="C41" t="s">
        <v>18</v>
      </c>
      <c r="D41" t="s">
        <v>32</v>
      </c>
      <c r="E41" t="s">
        <v>38</v>
      </c>
      <c r="F41" t="s">
        <v>21</v>
      </c>
      <c r="G41" s="2">
        <v>4</v>
      </c>
      <c r="H41" s="3">
        <v>3868</v>
      </c>
      <c r="I41" s="3">
        <v>2375</v>
      </c>
      <c r="J41" s="3">
        <v>1493</v>
      </c>
    </row>
    <row r="42" spans="1:10" x14ac:dyDescent="0.25">
      <c r="A42" t="s">
        <v>108</v>
      </c>
      <c r="B42" s="1" t="s">
        <v>109</v>
      </c>
      <c r="C42" t="s">
        <v>18</v>
      </c>
      <c r="D42" t="s">
        <v>37</v>
      </c>
      <c r="E42" t="s">
        <v>71</v>
      </c>
      <c r="F42" t="s">
        <v>21</v>
      </c>
      <c r="G42" s="2">
        <v>5</v>
      </c>
      <c r="H42" s="3">
        <v>4400</v>
      </c>
      <c r="I42" s="3">
        <v>3393</v>
      </c>
      <c r="J42" s="3">
        <v>1007</v>
      </c>
    </row>
    <row r="43" spans="1:10" x14ac:dyDescent="0.25">
      <c r="A43" t="s">
        <v>110</v>
      </c>
      <c r="B43" s="1" t="s">
        <v>111</v>
      </c>
      <c r="C43" t="s">
        <v>24</v>
      </c>
      <c r="D43" t="s">
        <v>47</v>
      </c>
      <c r="E43" t="s">
        <v>58</v>
      </c>
      <c r="F43" t="s">
        <v>15</v>
      </c>
      <c r="G43" s="2">
        <v>2</v>
      </c>
      <c r="H43" s="3">
        <v>626</v>
      </c>
      <c r="I43" s="3">
        <v>380</v>
      </c>
      <c r="J43" s="3">
        <v>246</v>
      </c>
    </row>
    <row r="44" spans="1:10" x14ac:dyDescent="0.25">
      <c r="A44" t="s">
        <v>112</v>
      </c>
      <c r="B44" s="1" t="s">
        <v>113</v>
      </c>
      <c r="C44" t="s">
        <v>27</v>
      </c>
      <c r="D44" t="s">
        <v>13</v>
      </c>
      <c r="E44" t="s">
        <v>29</v>
      </c>
      <c r="F44" t="s">
        <v>15</v>
      </c>
      <c r="G44" s="2">
        <v>5</v>
      </c>
      <c r="H44" s="3">
        <v>3960</v>
      </c>
      <c r="I44" s="3">
        <v>2412</v>
      </c>
      <c r="J44" s="3">
        <v>1548</v>
      </c>
    </row>
    <row r="45" spans="1:10" x14ac:dyDescent="0.25">
      <c r="A45" t="s">
        <v>114</v>
      </c>
      <c r="B45" s="1" t="s">
        <v>115</v>
      </c>
      <c r="C45" t="s">
        <v>24</v>
      </c>
      <c r="D45" t="s">
        <v>19</v>
      </c>
      <c r="E45" t="s">
        <v>14</v>
      </c>
      <c r="F45" t="s">
        <v>15</v>
      </c>
      <c r="G45" s="2">
        <v>5</v>
      </c>
      <c r="H45" s="3">
        <v>3005</v>
      </c>
      <c r="I45" s="3">
        <v>2345</v>
      </c>
      <c r="J45" s="3">
        <v>660</v>
      </c>
    </row>
    <row r="46" spans="1:10" x14ac:dyDescent="0.25">
      <c r="A46" t="s">
        <v>116</v>
      </c>
      <c r="B46" s="1" t="s">
        <v>117</v>
      </c>
      <c r="C46" t="s">
        <v>24</v>
      </c>
      <c r="D46" t="s">
        <v>19</v>
      </c>
      <c r="E46" t="s">
        <v>20</v>
      </c>
      <c r="F46" t="s">
        <v>21</v>
      </c>
      <c r="G46" s="2">
        <v>2</v>
      </c>
      <c r="H46" s="3">
        <v>1102</v>
      </c>
      <c r="I46" s="3">
        <v>762</v>
      </c>
      <c r="J46" s="3">
        <v>340</v>
      </c>
    </row>
    <row r="47" spans="1:10" x14ac:dyDescent="0.25">
      <c r="A47" t="s">
        <v>118</v>
      </c>
      <c r="B47" s="1" t="s">
        <v>119</v>
      </c>
      <c r="C47" t="s">
        <v>18</v>
      </c>
      <c r="D47" t="s">
        <v>37</v>
      </c>
      <c r="E47" t="s">
        <v>14</v>
      </c>
      <c r="F47" t="s">
        <v>15</v>
      </c>
      <c r="G47" s="2">
        <v>4</v>
      </c>
      <c r="H47" s="3">
        <v>860</v>
      </c>
      <c r="I47" s="3">
        <v>522</v>
      </c>
      <c r="J47" s="3">
        <v>338</v>
      </c>
    </row>
    <row r="48" spans="1:10" x14ac:dyDescent="0.25">
      <c r="A48" t="s">
        <v>120</v>
      </c>
      <c r="B48" s="1" t="s">
        <v>121</v>
      </c>
      <c r="C48" t="s">
        <v>27</v>
      </c>
      <c r="D48" t="s">
        <v>28</v>
      </c>
      <c r="E48" t="s">
        <v>20</v>
      </c>
      <c r="F48" t="s">
        <v>21</v>
      </c>
      <c r="G48" s="2">
        <v>4</v>
      </c>
      <c r="H48" s="3">
        <v>952</v>
      </c>
      <c r="I48" s="3">
        <v>719</v>
      </c>
      <c r="J48" s="3">
        <v>233</v>
      </c>
    </row>
    <row r="49" spans="1:10" x14ac:dyDescent="0.25">
      <c r="A49" t="s">
        <v>122</v>
      </c>
      <c r="B49" s="1" t="s">
        <v>123</v>
      </c>
      <c r="C49" t="s">
        <v>27</v>
      </c>
      <c r="D49" t="s">
        <v>37</v>
      </c>
      <c r="E49" t="s">
        <v>38</v>
      </c>
      <c r="F49" t="s">
        <v>21</v>
      </c>
      <c r="G49" s="2">
        <v>2</v>
      </c>
      <c r="H49" s="3">
        <v>834</v>
      </c>
      <c r="I49" s="3">
        <v>619</v>
      </c>
      <c r="J49" s="3">
        <v>215</v>
      </c>
    </row>
    <row r="50" spans="1:10" x14ac:dyDescent="0.25">
      <c r="A50" t="s">
        <v>124</v>
      </c>
      <c r="B50" s="1" t="s">
        <v>125</v>
      </c>
      <c r="C50" t="s">
        <v>24</v>
      </c>
      <c r="D50" t="s">
        <v>37</v>
      </c>
      <c r="E50" t="s">
        <v>29</v>
      </c>
      <c r="F50" t="s">
        <v>15</v>
      </c>
      <c r="G50" s="2">
        <v>4</v>
      </c>
      <c r="H50" s="3">
        <v>3764</v>
      </c>
      <c r="I50" s="3">
        <v>2765</v>
      </c>
      <c r="J50" s="3">
        <v>999</v>
      </c>
    </row>
    <row r="51" spans="1:10" x14ac:dyDescent="0.25">
      <c r="A51" t="s">
        <v>126</v>
      </c>
      <c r="B51" s="1" t="s">
        <v>93</v>
      </c>
      <c r="C51" t="s">
        <v>12</v>
      </c>
      <c r="D51" t="s">
        <v>37</v>
      </c>
      <c r="E51" t="s">
        <v>71</v>
      </c>
      <c r="F51" t="s">
        <v>21</v>
      </c>
      <c r="G51" s="2">
        <v>2</v>
      </c>
      <c r="H51" s="3">
        <v>1914</v>
      </c>
      <c r="I51" s="3">
        <v>1285</v>
      </c>
      <c r="J51" s="3">
        <v>629</v>
      </c>
    </row>
    <row r="52" spans="1:10" x14ac:dyDescent="0.25">
      <c r="A52" t="s">
        <v>127</v>
      </c>
      <c r="B52" s="1" t="s">
        <v>128</v>
      </c>
      <c r="C52" t="s">
        <v>18</v>
      </c>
      <c r="D52" t="s">
        <v>32</v>
      </c>
      <c r="E52" t="s">
        <v>58</v>
      </c>
      <c r="F52" t="s">
        <v>15</v>
      </c>
      <c r="G52" s="2">
        <v>4</v>
      </c>
      <c r="H52" s="3">
        <v>4748</v>
      </c>
      <c r="I52" s="3">
        <v>3793</v>
      </c>
      <c r="J52" s="3">
        <v>955</v>
      </c>
    </row>
    <row r="53" spans="1:10" x14ac:dyDescent="0.25">
      <c r="A53" t="s">
        <v>129</v>
      </c>
      <c r="B53" s="1" t="s">
        <v>130</v>
      </c>
      <c r="C53" t="s">
        <v>12</v>
      </c>
      <c r="D53" t="s">
        <v>32</v>
      </c>
      <c r="E53" t="s">
        <v>29</v>
      </c>
      <c r="F53" t="s">
        <v>15</v>
      </c>
      <c r="G53" s="2">
        <v>5</v>
      </c>
      <c r="H53" s="3">
        <v>2795</v>
      </c>
      <c r="I53" s="3">
        <v>1951</v>
      </c>
      <c r="J53" s="3">
        <v>844</v>
      </c>
    </row>
    <row r="54" spans="1:10" x14ac:dyDescent="0.25">
      <c r="A54" t="s">
        <v>131</v>
      </c>
      <c r="B54" s="1" t="s">
        <v>132</v>
      </c>
      <c r="C54" t="s">
        <v>24</v>
      </c>
      <c r="D54" t="s">
        <v>32</v>
      </c>
      <c r="E54" t="s">
        <v>20</v>
      </c>
      <c r="F54" t="s">
        <v>21</v>
      </c>
      <c r="G54" s="2">
        <v>1</v>
      </c>
      <c r="H54" s="3">
        <v>465</v>
      </c>
      <c r="I54" s="3">
        <v>280</v>
      </c>
      <c r="J54" s="3">
        <v>185</v>
      </c>
    </row>
    <row r="55" spans="1:10" x14ac:dyDescent="0.25">
      <c r="A55" t="s">
        <v>133</v>
      </c>
      <c r="B55" s="1" t="s">
        <v>134</v>
      </c>
      <c r="C55" t="s">
        <v>24</v>
      </c>
      <c r="D55" t="s">
        <v>32</v>
      </c>
      <c r="E55" t="s">
        <v>38</v>
      </c>
      <c r="F55" t="s">
        <v>21</v>
      </c>
      <c r="G55" s="2">
        <v>4</v>
      </c>
      <c r="H55" s="3">
        <v>3016</v>
      </c>
      <c r="I55" s="3">
        <v>2371</v>
      </c>
      <c r="J55" s="3">
        <v>645</v>
      </c>
    </row>
    <row r="56" spans="1:10" x14ac:dyDescent="0.25">
      <c r="A56" t="s">
        <v>135</v>
      </c>
      <c r="B56" s="1" t="s">
        <v>136</v>
      </c>
      <c r="C56" t="s">
        <v>27</v>
      </c>
      <c r="D56" t="s">
        <v>13</v>
      </c>
      <c r="E56" t="s">
        <v>38</v>
      </c>
      <c r="F56" t="s">
        <v>21</v>
      </c>
      <c r="G56" s="2">
        <v>3</v>
      </c>
      <c r="H56" s="3">
        <v>2100</v>
      </c>
      <c r="I56" s="3">
        <v>1500</v>
      </c>
      <c r="J56" s="3">
        <v>600</v>
      </c>
    </row>
    <row r="57" spans="1:10" x14ac:dyDescent="0.25">
      <c r="A57" t="s">
        <v>137</v>
      </c>
      <c r="B57" s="1" t="s">
        <v>138</v>
      </c>
      <c r="C57" t="s">
        <v>12</v>
      </c>
      <c r="D57" t="s">
        <v>37</v>
      </c>
      <c r="E57" t="s">
        <v>58</v>
      </c>
      <c r="F57" t="s">
        <v>15</v>
      </c>
      <c r="G57" s="2">
        <v>4</v>
      </c>
      <c r="H57" s="3">
        <v>968</v>
      </c>
      <c r="I57" s="3">
        <v>704</v>
      </c>
      <c r="J57" s="3">
        <v>264</v>
      </c>
    </row>
    <row r="58" spans="1:10" x14ac:dyDescent="0.25">
      <c r="A58" t="s">
        <v>139</v>
      </c>
      <c r="B58" s="1" t="s">
        <v>140</v>
      </c>
      <c r="C58" t="s">
        <v>12</v>
      </c>
      <c r="D58" t="s">
        <v>19</v>
      </c>
      <c r="E58" t="s">
        <v>58</v>
      </c>
      <c r="F58" t="s">
        <v>15</v>
      </c>
      <c r="G58" s="2">
        <v>4</v>
      </c>
      <c r="H58" s="3">
        <v>4424</v>
      </c>
      <c r="I58" s="3">
        <v>3383</v>
      </c>
      <c r="J58" s="3">
        <v>1041</v>
      </c>
    </row>
    <row r="59" spans="1:10" x14ac:dyDescent="0.25">
      <c r="A59" t="s">
        <v>141</v>
      </c>
      <c r="B59" s="1" t="s">
        <v>142</v>
      </c>
      <c r="C59" t="s">
        <v>12</v>
      </c>
      <c r="D59" t="s">
        <v>37</v>
      </c>
      <c r="E59" t="s">
        <v>38</v>
      </c>
      <c r="F59" t="s">
        <v>21</v>
      </c>
      <c r="G59" s="2">
        <v>1</v>
      </c>
      <c r="H59" s="3">
        <v>1185</v>
      </c>
      <c r="I59" s="3">
        <v>884</v>
      </c>
      <c r="J59" s="3">
        <v>301</v>
      </c>
    </row>
    <row r="60" spans="1:10" x14ac:dyDescent="0.25">
      <c r="A60" t="s">
        <v>143</v>
      </c>
      <c r="B60" s="1" t="s">
        <v>144</v>
      </c>
      <c r="C60" t="s">
        <v>18</v>
      </c>
      <c r="D60" t="s">
        <v>32</v>
      </c>
      <c r="E60" t="s">
        <v>71</v>
      </c>
      <c r="F60" t="s">
        <v>21</v>
      </c>
      <c r="G60" s="2">
        <v>1</v>
      </c>
      <c r="H60" s="3">
        <v>1055</v>
      </c>
      <c r="I60" s="3">
        <v>647</v>
      </c>
      <c r="J60" s="3">
        <v>408</v>
      </c>
    </row>
    <row r="61" spans="1:10" x14ac:dyDescent="0.25">
      <c r="A61" t="s">
        <v>145</v>
      </c>
      <c r="B61" s="1" t="s">
        <v>146</v>
      </c>
      <c r="C61" t="s">
        <v>24</v>
      </c>
      <c r="D61" t="s">
        <v>32</v>
      </c>
      <c r="E61" t="s">
        <v>38</v>
      </c>
      <c r="F61" t="s">
        <v>21</v>
      </c>
      <c r="G61" s="2">
        <v>2</v>
      </c>
      <c r="H61" s="3">
        <v>1268</v>
      </c>
      <c r="I61" s="3">
        <v>906</v>
      </c>
      <c r="J61" s="3">
        <v>362</v>
      </c>
    </row>
    <row r="62" spans="1:10" x14ac:dyDescent="0.25">
      <c r="A62" t="s">
        <v>147</v>
      </c>
      <c r="B62" s="1" t="s">
        <v>148</v>
      </c>
      <c r="C62" t="s">
        <v>18</v>
      </c>
      <c r="D62" t="s">
        <v>37</v>
      </c>
      <c r="E62" t="s">
        <v>58</v>
      </c>
      <c r="F62" t="s">
        <v>15</v>
      </c>
      <c r="G62" s="2">
        <v>5</v>
      </c>
      <c r="H62" s="3">
        <v>5020</v>
      </c>
      <c r="I62" s="3">
        <v>3836</v>
      </c>
      <c r="J62" s="3">
        <v>1184</v>
      </c>
    </row>
    <row r="63" spans="1:10" x14ac:dyDescent="0.25">
      <c r="A63" t="s">
        <v>149</v>
      </c>
      <c r="B63" s="1" t="s">
        <v>150</v>
      </c>
      <c r="C63" t="s">
        <v>27</v>
      </c>
      <c r="D63" t="s">
        <v>32</v>
      </c>
      <c r="E63" t="s">
        <v>14</v>
      </c>
      <c r="F63" t="s">
        <v>15</v>
      </c>
      <c r="G63" s="2">
        <v>1</v>
      </c>
      <c r="H63" s="3">
        <v>949</v>
      </c>
      <c r="I63" s="3">
        <v>712</v>
      </c>
      <c r="J63" s="3">
        <v>237</v>
      </c>
    </row>
    <row r="64" spans="1:10" x14ac:dyDescent="0.25">
      <c r="A64" t="s">
        <v>151</v>
      </c>
      <c r="B64" s="1" t="s">
        <v>152</v>
      </c>
      <c r="C64" t="s">
        <v>24</v>
      </c>
      <c r="D64" t="s">
        <v>37</v>
      </c>
      <c r="E64" t="s">
        <v>29</v>
      </c>
      <c r="F64" t="s">
        <v>15</v>
      </c>
      <c r="G64" s="2">
        <v>3</v>
      </c>
      <c r="H64" s="3">
        <v>3090</v>
      </c>
      <c r="I64" s="3">
        <v>2068</v>
      </c>
      <c r="J64" s="3">
        <v>1022</v>
      </c>
    </row>
    <row r="65" spans="1:10" x14ac:dyDescent="0.25">
      <c r="A65" t="s">
        <v>153</v>
      </c>
      <c r="B65" s="1" t="s">
        <v>154</v>
      </c>
      <c r="C65" t="s">
        <v>12</v>
      </c>
      <c r="D65" t="s">
        <v>47</v>
      </c>
      <c r="E65" t="s">
        <v>14</v>
      </c>
      <c r="F65" t="s">
        <v>15</v>
      </c>
      <c r="G65" s="2">
        <v>3</v>
      </c>
      <c r="H65" s="3">
        <v>552</v>
      </c>
      <c r="I65" s="3">
        <v>342</v>
      </c>
      <c r="J65" s="3">
        <v>210</v>
      </c>
    </row>
    <row r="66" spans="1:10" x14ac:dyDescent="0.25">
      <c r="A66" t="s">
        <v>155</v>
      </c>
      <c r="B66" s="1" t="s">
        <v>156</v>
      </c>
      <c r="C66" t="s">
        <v>27</v>
      </c>
      <c r="D66" t="s">
        <v>28</v>
      </c>
      <c r="E66" t="s">
        <v>20</v>
      </c>
      <c r="F66" t="s">
        <v>21</v>
      </c>
      <c r="G66" s="2">
        <v>2</v>
      </c>
      <c r="H66" s="3">
        <v>2176</v>
      </c>
      <c r="I66" s="3">
        <v>1567</v>
      </c>
      <c r="J66" s="3">
        <v>609</v>
      </c>
    </row>
    <row r="67" spans="1:10" x14ac:dyDescent="0.25">
      <c r="A67" t="s">
        <v>157</v>
      </c>
      <c r="B67" s="1" t="s">
        <v>93</v>
      </c>
      <c r="C67" t="s">
        <v>12</v>
      </c>
      <c r="D67" t="s">
        <v>19</v>
      </c>
      <c r="E67" t="s">
        <v>71</v>
      </c>
      <c r="F67" t="s">
        <v>21</v>
      </c>
      <c r="G67" s="2">
        <v>3</v>
      </c>
      <c r="H67" s="3">
        <v>3099</v>
      </c>
      <c r="I67" s="3">
        <v>1985</v>
      </c>
      <c r="J67" s="3">
        <v>1114</v>
      </c>
    </row>
    <row r="68" spans="1:10" x14ac:dyDescent="0.25">
      <c r="A68" t="s">
        <v>158</v>
      </c>
      <c r="B68" s="1" t="s">
        <v>159</v>
      </c>
      <c r="C68" t="s">
        <v>24</v>
      </c>
      <c r="D68" t="s">
        <v>19</v>
      </c>
      <c r="E68" t="s">
        <v>29</v>
      </c>
      <c r="F68" t="s">
        <v>15</v>
      </c>
      <c r="G68" s="2">
        <v>3</v>
      </c>
      <c r="H68" s="3">
        <v>2169</v>
      </c>
      <c r="I68" s="3">
        <v>1491</v>
      </c>
      <c r="J68" s="3">
        <v>678</v>
      </c>
    </row>
    <row r="69" spans="1:10" x14ac:dyDescent="0.25">
      <c r="A69" t="s">
        <v>160</v>
      </c>
      <c r="B69" s="1" t="s">
        <v>161</v>
      </c>
      <c r="C69" t="s">
        <v>27</v>
      </c>
      <c r="D69" t="s">
        <v>19</v>
      </c>
      <c r="E69" t="s">
        <v>14</v>
      </c>
      <c r="F69" t="s">
        <v>15</v>
      </c>
      <c r="G69" s="2">
        <v>4</v>
      </c>
      <c r="H69" s="3">
        <v>3104</v>
      </c>
      <c r="I69" s="3">
        <v>1900</v>
      </c>
      <c r="J69" s="3">
        <v>1204</v>
      </c>
    </row>
    <row r="70" spans="1:10" x14ac:dyDescent="0.25">
      <c r="A70" t="s">
        <v>162</v>
      </c>
      <c r="B70" s="1" t="s">
        <v>163</v>
      </c>
      <c r="C70" t="s">
        <v>24</v>
      </c>
      <c r="D70" t="s">
        <v>13</v>
      </c>
      <c r="E70" t="s">
        <v>38</v>
      </c>
      <c r="F70" t="s">
        <v>21</v>
      </c>
      <c r="G70" s="2">
        <v>3</v>
      </c>
      <c r="H70" s="3">
        <v>936</v>
      </c>
      <c r="I70" s="3">
        <v>748</v>
      </c>
      <c r="J70" s="3">
        <v>188</v>
      </c>
    </row>
    <row r="71" spans="1:10" x14ac:dyDescent="0.25">
      <c r="A71" t="s">
        <v>164</v>
      </c>
      <c r="B71" s="1" t="s">
        <v>165</v>
      </c>
      <c r="C71" t="s">
        <v>27</v>
      </c>
      <c r="D71" t="s">
        <v>13</v>
      </c>
      <c r="E71" t="s">
        <v>71</v>
      </c>
      <c r="F71" t="s">
        <v>21</v>
      </c>
      <c r="G71" s="2">
        <v>1</v>
      </c>
      <c r="H71" s="3">
        <v>1062</v>
      </c>
      <c r="I71" s="3">
        <v>661</v>
      </c>
      <c r="J71" s="3">
        <v>401</v>
      </c>
    </row>
    <row r="72" spans="1:10" x14ac:dyDescent="0.25">
      <c r="A72" t="s">
        <v>166</v>
      </c>
      <c r="B72" s="1" t="s">
        <v>167</v>
      </c>
      <c r="C72" t="s">
        <v>27</v>
      </c>
      <c r="D72" t="s">
        <v>32</v>
      </c>
      <c r="E72" t="s">
        <v>29</v>
      </c>
      <c r="F72" t="s">
        <v>15</v>
      </c>
      <c r="G72" s="2">
        <v>4</v>
      </c>
      <c r="H72" s="3">
        <v>2412</v>
      </c>
      <c r="I72" s="3">
        <v>1542</v>
      </c>
      <c r="J72" s="3">
        <v>870</v>
      </c>
    </row>
    <row r="73" spans="1:10" x14ac:dyDescent="0.25">
      <c r="A73" t="s">
        <v>168</v>
      </c>
      <c r="B73" s="1" t="s">
        <v>169</v>
      </c>
      <c r="C73" t="s">
        <v>24</v>
      </c>
      <c r="D73" t="s">
        <v>28</v>
      </c>
      <c r="E73" t="s">
        <v>29</v>
      </c>
      <c r="F73" t="s">
        <v>15</v>
      </c>
      <c r="G73" s="2">
        <v>5</v>
      </c>
      <c r="H73" s="3">
        <v>4130</v>
      </c>
      <c r="I73" s="3">
        <v>2719</v>
      </c>
      <c r="J73" s="3">
        <v>1411</v>
      </c>
    </row>
    <row r="74" spans="1:10" x14ac:dyDescent="0.25">
      <c r="A74" t="s">
        <v>170</v>
      </c>
      <c r="B74" s="1" t="s">
        <v>68</v>
      </c>
      <c r="C74" t="s">
        <v>12</v>
      </c>
      <c r="D74" t="s">
        <v>28</v>
      </c>
      <c r="E74" t="s">
        <v>29</v>
      </c>
      <c r="F74" t="s">
        <v>15</v>
      </c>
      <c r="G74" s="2">
        <v>3</v>
      </c>
      <c r="H74" s="3">
        <v>2931</v>
      </c>
      <c r="I74" s="3">
        <v>2045</v>
      </c>
      <c r="J74" s="3">
        <v>886</v>
      </c>
    </row>
    <row r="75" spans="1:10" x14ac:dyDescent="0.25">
      <c r="A75" t="s">
        <v>171</v>
      </c>
      <c r="B75" s="1" t="s">
        <v>172</v>
      </c>
      <c r="C75" t="s">
        <v>27</v>
      </c>
      <c r="D75" t="s">
        <v>28</v>
      </c>
      <c r="E75" t="s">
        <v>29</v>
      </c>
      <c r="F75" t="s">
        <v>15</v>
      </c>
      <c r="G75" s="2">
        <v>1</v>
      </c>
      <c r="H75" s="3">
        <v>837</v>
      </c>
      <c r="I75" s="3">
        <v>563</v>
      </c>
      <c r="J75" s="3">
        <v>274</v>
      </c>
    </row>
    <row r="76" spans="1:10" x14ac:dyDescent="0.25">
      <c r="A76" t="s">
        <v>173</v>
      </c>
      <c r="B76" s="1" t="s">
        <v>174</v>
      </c>
      <c r="C76" t="s">
        <v>18</v>
      </c>
      <c r="D76" t="s">
        <v>32</v>
      </c>
      <c r="E76" t="s">
        <v>14</v>
      </c>
      <c r="F76" t="s">
        <v>15</v>
      </c>
      <c r="G76" s="2">
        <v>2</v>
      </c>
      <c r="H76" s="3">
        <v>1522</v>
      </c>
      <c r="I76" s="3">
        <v>976</v>
      </c>
      <c r="J76" s="3">
        <v>546</v>
      </c>
    </row>
    <row r="77" spans="1:10" x14ac:dyDescent="0.25">
      <c r="A77" t="s">
        <v>175</v>
      </c>
      <c r="B77" s="1" t="s">
        <v>176</v>
      </c>
      <c r="C77" t="s">
        <v>18</v>
      </c>
      <c r="D77" t="s">
        <v>47</v>
      </c>
      <c r="E77" t="s">
        <v>14</v>
      </c>
      <c r="F77" t="s">
        <v>15</v>
      </c>
      <c r="G77" s="2">
        <v>1</v>
      </c>
      <c r="H77" s="3">
        <v>1090</v>
      </c>
      <c r="I77" s="3">
        <v>766</v>
      </c>
      <c r="J77" s="3">
        <v>324</v>
      </c>
    </row>
    <row r="78" spans="1:10" x14ac:dyDescent="0.25">
      <c r="A78" t="s">
        <v>177</v>
      </c>
      <c r="B78" s="1" t="s">
        <v>178</v>
      </c>
      <c r="C78" t="s">
        <v>18</v>
      </c>
      <c r="D78" t="s">
        <v>28</v>
      </c>
      <c r="E78" t="s">
        <v>38</v>
      </c>
      <c r="F78" t="s">
        <v>21</v>
      </c>
      <c r="G78" s="2">
        <v>1</v>
      </c>
      <c r="H78" s="3">
        <v>596</v>
      </c>
      <c r="I78" s="3">
        <v>358</v>
      </c>
      <c r="J78" s="3">
        <v>238</v>
      </c>
    </row>
    <row r="79" spans="1:10" x14ac:dyDescent="0.25">
      <c r="A79" t="s">
        <v>179</v>
      </c>
      <c r="B79" s="1" t="s">
        <v>180</v>
      </c>
      <c r="C79" t="s">
        <v>24</v>
      </c>
      <c r="D79" t="s">
        <v>47</v>
      </c>
      <c r="E79" t="s">
        <v>38</v>
      </c>
      <c r="F79" t="s">
        <v>21</v>
      </c>
      <c r="G79" s="2">
        <v>1</v>
      </c>
      <c r="H79" s="3">
        <v>152</v>
      </c>
      <c r="I79" s="3">
        <v>115</v>
      </c>
      <c r="J79" s="3">
        <v>37</v>
      </c>
    </row>
    <row r="80" spans="1:10" x14ac:dyDescent="0.25">
      <c r="A80" t="s">
        <v>181</v>
      </c>
      <c r="B80" s="1" t="s">
        <v>182</v>
      </c>
      <c r="C80" t="s">
        <v>18</v>
      </c>
      <c r="D80" t="s">
        <v>32</v>
      </c>
      <c r="E80" t="s">
        <v>29</v>
      </c>
      <c r="F80" t="s">
        <v>15</v>
      </c>
      <c r="G80" s="2">
        <v>5</v>
      </c>
      <c r="H80" s="3">
        <v>3335</v>
      </c>
      <c r="I80" s="3">
        <v>2204</v>
      </c>
      <c r="J80" s="3">
        <v>1131</v>
      </c>
    </row>
    <row r="81" spans="1:10" x14ac:dyDescent="0.25">
      <c r="A81" t="s">
        <v>183</v>
      </c>
      <c r="B81" s="1" t="s">
        <v>184</v>
      </c>
      <c r="C81" t="s">
        <v>18</v>
      </c>
      <c r="D81" t="s">
        <v>19</v>
      </c>
      <c r="E81" t="s">
        <v>20</v>
      </c>
      <c r="F81" t="s">
        <v>21</v>
      </c>
      <c r="G81" s="2">
        <v>2</v>
      </c>
      <c r="H81" s="3">
        <v>888</v>
      </c>
      <c r="I81" s="3">
        <v>577</v>
      </c>
      <c r="J81" s="3">
        <v>311</v>
      </c>
    </row>
    <row r="82" spans="1:10" x14ac:dyDescent="0.25">
      <c r="A82" t="s">
        <v>185</v>
      </c>
      <c r="B82" s="1" t="s">
        <v>186</v>
      </c>
      <c r="C82" t="s">
        <v>27</v>
      </c>
      <c r="D82" t="s">
        <v>37</v>
      </c>
      <c r="E82" t="s">
        <v>38</v>
      </c>
      <c r="F82" t="s">
        <v>21</v>
      </c>
      <c r="G82" s="2">
        <v>3</v>
      </c>
      <c r="H82" s="3">
        <v>2151</v>
      </c>
      <c r="I82" s="3">
        <v>1436</v>
      </c>
      <c r="J82" s="3">
        <v>715</v>
      </c>
    </row>
    <row r="83" spans="1:10" x14ac:dyDescent="0.25">
      <c r="A83" t="s">
        <v>187</v>
      </c>
      <c r="B83" s="1" t="s">
        <v>188</v>
      </c>
      <c r="C83" t="s">
        <v>24</v>
      </c>
      <c r="D83" t="s">
        <v>47</v>
      </c>
      <c r="E83" t="s">
        <v>14</v>
      </c>
      <c r="F83" t="s">
        <v>15</v>
      </c>
      <c r="G83" s="2">
        <v>1</v>
      </c>
      <c r="H83" s="3">
        <v>558</v>
      </c>
      <c r="I83" s="3">
        <v>348</v>
      </c>
      <c r="J83" s="3">
        <v>210</v>
      </c>
    </row>
    <row r="84" spans="1:10" x14ac:dyDescent="0.25">
      <c r="A84" t="s">
        <v>189</v>
      </c>
      <c r="B84" s="1" t="s">
        <v>190</v>
      </c>
      <c r="C84" t="s">
        <v>27</v>
      </c>
      <c r="D84" t="s">
        <v>19</v>
      </c>
      <c r="E84" t="s">
        <v>29</v>
      </c>
      <c r="F84" t="s">
        <v>15</v>
      </c>
      <c r="G84" s="2">
        <v>5</v>
      </c>
      <c r="H84" s="3">
        <v>4315</v>
      </c>
      <c r="I84" s="3">
        <v>3042</v>
      </c>
      <c r="J84" s="3">
        <v>1273</v>
      </c>
    </row>
    <row r="85" spans="1:10" x14ac:dyDescent="0.25">
      <c r="A85" t="s">
        <v>191</v>
      </c>
      <c r="B85" s="1" t="s">
        <v>136</v>
      </c>
      <c r="C85" t="s">
        <v>27</v>
      </c>
      <c r="D85" t="s">
        <v>13</v>
      </c>
      <c r="E85" t="s">
        <v>14</v>
      </c>
      <c r="F85" t="s">
        <v>15</v>
      </c>
      <c r="G85" s="2">
        <v>2</v>
      </c>
      <c r="H85" s="3">
        <v>798</v>
      </c>
      <c r="I85" s="3">
        <v>479</v>
      </c>
      <c r="J85" s="3">
        <v>319</v>
      </c>
    </row>
    <row r="86" spans="1:10" x14ac:dyDescent="0.25">
      <c r="A86" t="s">
        <v>192</v>
      </c>
      <c r="B86" s="1" t="s">
        <v>193</v>
      </c>
      <c r="C86" t="s">
        <v>12</v>
      </c>
      <c r="D86" t="s">
        <v>47</v>
      </c>
      <c r="E86" t="s">
        <v>29</v>
      </c>
      <c r="F86" t="s">
        <v>15</v>
      </c>
      <c r="G86" s="2">
        <v>3</v>
      </c>
      <c r="H86" s="3">
        <v>3057</v>
      </c>
      <c r="I86" s="3">
        <v>1965</v>
      </c>
      <c r="J86" s="3">
        <v>1092</v>
      </c>
    </row>
    <row r="87" spans="1:10" x14ac:dyDescent="0.25">
      <c r="A87" t="s">
        <v>194</v>
      </c>
      <c r="B87" s="1" t="s">
        <v>195</v>
      </c>
      <c r="C87" t="s">
        <v>12</v>
      </c>
      <c r="D87" t="s">
        <v>32</v>
      </c>
      <c r="E87" t="s">
        <v>20</v>
      </c>
      <c r="F87" t="s">
        <v>21</v>
      </c>
      <c r="G87" s="2">
        <v>1</v>
      </c>
      <c r="H87" s="3">
        <v>1157</v>
      </c>
      <c r="I87" s="3">
        <v>904</v>
      </c>
      <c r="J87" s="3">
        <v>253</v>
      </c>
    </row>
    <row r="88" spans="1:10" x14ac:dyDescent="0.25">
      <c r="A88" t="s">
        <v>196</v>
      </c>
      <c r="B88" s="1" t="s">
        <v>197</v>
      </c>
      <c r="C88" t="s">
        <v>12</v>
      </c>
      <c r="D88" t="s">
        <v>37</v>
      </c>
      <c r="E88" t="s">
        <v>38</v>
      </c>
      <c r="F88" t="s">
        <v>21</v>
      </c>
      <c r="G88" s="2">
        <v>3</v>
      </c>
      <c r="H88" s="3">
        <v>3564</v>
      </c>
      <c r="I88" s="3">
        <v>2335</v>
      </c>
      <c r="J88" s="3">
        <v>1229</v>
      </c>
    </row>
    <row r="89" spans="1:10" x14ac:dyDescent="0.25">
      <c r="A89" t="s">
        <v>198</v>
      </c>
      <c r="B89" s="1" t="s">
        <v>199</v>
      </c>
      <c r="C89" t="s">
        <v>12</v>
      </c>
      <c r="D89" t="s">
        <v>19</v>
      </c>
      <c r="E89" t="s">
        <v>38</v>
      </c>
      <c r="F89" t="s">
        <v>21</v>
      </c>
      <c r="G89" s="2">
        <v>4</v>
      </c>
      <c r="H89" s="3">
        <v>2896</v>
      </c>
      <c r="I89" s="3">
        <v>2167</v>
      </c>
      <c r="J89" s="3">
        <v>729</v>
      </c>
    </row>
    <row r="90" spans="1:10" x14ac:dyDescent="0.25">
      <c r="A90" t="s">
        <v>200</v>
      </c>
      <c r="B90" s="1" t="s">
        <v>201</v>
      </c>
      <c r="C90" t="s">
        <v>18</v>
      </c>
      <c r="D90" t="s">
        <v>19</v>
      </c>
      <c r="E90" t="s">
        <v>20</v>
      </c>
      <c r="F90" t="s">
        <v>21</v>
      </c>
      <c r="G90" s="2">
        <v>5</v>
      </c>
      <c r="H90" s="3">
        <v>3100</v>
      </c>
      <c r="I90" s="3">
        <v>1913</v>
      </c>
      <c r="J90" s="3">
        <v>1187</v>
      </c>
    </row>
    <row r="91" spans="1:10" x14ac:dyDescent="0.25">
      <c r="A91" t="s">
        <v>202</v>
      </c>
      <c r="B91" s="1" t="s">
        <v>203</v>
      </c>
      <c r="C91" t="s">
        <v>24</v>
      </c>
      <c r="D91" t="s">
        <v>13</v>
      </c>
      <c r="E91" t="s">
        <v>29</v>
      </c>
      <c r="F91" t="s">
        <v>15</v>
      </c>
      <c r="G91" s="2">
        <v>1</v>
      </c>
      <c r="H91" s="3">
        <v>408</v>
      </c>
      <c r="I91" s="3">
        <v>269</v>
      </c>
      <c r="J91" s="3">
        <v>139</v>
      </c>
    </row>
    <row r="92" spans="1:10" x14ac:dyDescent="0.25">
      <c r="A92" t="s">
        <v>204</v>
      </c>
      <c r="B92" s="1" t="s">
        <v>205</v>
      </c>
      <c r="C92" t="s">
        <v>27</v>
      </c>
      <c r="D92" t="s">
        <v>37</v>
      </c>
      <c r="E92" t="s">
        <v>20</v>
      </c>
      <c r="F92" t="s">
        <v>21</v>
      </c>
      <c r="G92" s="2">
        <v>5</v>
      </c>
      <c r="H92" s="3">
        <v>1200</v>
      </c>
      <c r="I92" s="3">
        <v>823</v>
      </c>
      <c r="J92" s="3">
        <v>377</v>
      </c>
    </row>
    <row r="93" spans="1:10" x14ac:dyDescent="0.25">
      <c r="A93" t="s">
        <v>206</v>
      </c>
      <c r="B93" s="1" t="s">
        <v>207</v>
      </c>
      <c r="C93" t="s">
        <v>27</v>
      </c>
      <c r="D93" t="s">
        <v>47</v>
      </c>
      <c r="E93" t="s">
        <v>29</v>
      </c>
      <c r="F93" t="s">
        <v>15</v>
      </c>
      <c r="G93" s="2">
        <v>5</v>
      </c>
      <c r="H93" s="3">
        <v>1025</v>
      </c>
      <c r="I93" s="3">
        <v>745</v>
      </c>
      <c r="J93" s="3">
        <v>280</v>
      </c>
    </row>
    <row r="94" spans="1:10" x14ac:dyDescent="0.25">
      <c r="A94" t="s">
        <v>208</v>
      </c>
      <c r="B94" s="1" t="s">
        <v>209</v>
      </c>
      <c r="C94" t="s">
        <v>18</v>
      </c>
      <c r="D94" t="s">
        <v>13</v>
      </c>
      <c r="E94" t="s">
        <v>71</v>
      </c>
      <c r="F94" t="s">
        <v>21</v>
      </c>
      <c r="G94" s="2">
        <v>2</v>
      </c>
      <c r="H94" s="3">
        <v>466</v>
      </c>
      <c r="I94" s="3">
        <v>296</v>
      </c>
      <c r="J94" s="3">
        <v>170</v>
      </c>
    </row>
    <row r="95" spans="1:10" x14ac:dyDescent="0.25">
      <c r="A95" t="s">
        <v>210</v>
      </c>
      <c r="B95" s="1" t="s">
        <v>211</v>
      </c>
      <c r="C95" t="s">
        <v>27</v>
      </c>
      <c r="D95" t="s">
        <v>37</v>
      </c>
      <c r="E95" t="s">
        <v>71</v>
      </c>
      <c r="F95" t="s">
        <v>21</v>
      </c>
      <c r="G95" s="2">
        <v>2</v>
      </c>
      <c r="H95" s="3">
        <v>1380</v>
      </c>
      <c r="I95" s="3">
        <v>907</v>
      </c>
      <c r="J95" s="3">
        <v>473</v>
      </c>
    </row>
    <row r="96" spans="1:10" x14ac:dyDescent="0.25">
      <c r="A96" t="s">
        <v>212</v>
      </c>
      <c r="B96" s="1" t="s">
        <v>213</v>
      </c>
      <c r="C96" t="s">
        <v>27</v>
      </c>
      <c r="D96" t="s">
        <v>13</v>
      </c>
      <c r="E96" t="s">
        <v>38</v>
      </c>
      <c r="F96" t="s">
        <v>21</v>
      </c>
      <c r="G96" s="2">
        <v>4</v>
      </c>
      <c r="H96" s="3">
        <v>2552</v>
      </c>
      <c r="I96" s="3">
        <v>1969</v>
      </c>
      <c r="J96" s="3">
        <v>583</v>
      </c>
    </row>
    <row r="97" spans="1:10" x14ac:dyDescent="0.25">
      <c r="A97" t="s">
        <v>214</v>
      </c>
      <c r="B97" s="1" t="s">
        <v>215</v>
      </c>
      <c r="C97" t="s">
        <v>24</v>
      </c>
      <c r="D97" t="s">
        <v>19</v>
      </c>
      <c r="E97" t="s">
        <v>14</v>
      </c>
      <c r="F97" t="s">
        <v>15</v>
      </c>
      <c r="G97" s="2">
        <v>2</v>
      </c>
      <c r="H97" s="3">
        <v>1204</v>
      </c>
      <c r="I97" s="3">
        <v>808</v>
      </c>
      <c r="J97" s="3">
        <v>396</v>
      </c>
    </row>
    <row r="98" spans="1:10" x14ac:dyDescent="0.25">
      <c r="A98" t="s">
        <v>216</v>
      </c>
      <c r="B98" s="1" t="s">
        <v>217</v>
      </c>
      <c r="C98" t="s">
        <v>12</v>
      </c>
      <c r="D98" t="s">
        <v>13</v>
      </c>
      <c r="E98" t="s">
        <v>14</v>
      </c>
      <c r="F98" t="s">
        <v>15</v>
      </c>
      <c r="G98" s="2">
        <v>1</v>
      </c>
      <c r="H98" s="3">
        <v>739</v>
      </c>
      <c r="I98" s="3">
        <v>450</v>
      </c>
      <c r="J98" s="3">
        <v>289</v>
      </c>
    </row>
    <row r="99" spans="1:10" x14ac:dyDescent="0.25">
      <c r="A99" t="s">
        <v>218</v>
      </c>
      <c r="B99" s="1" t="s">
        <v>219</v>
      </c>
      <c r="C99" t="s">
        <v>12</v>
      </c>
      <c r="D99" t="s">
        <v>28</v>
      </c>
      <c r="E99" t="s">
        <v>20</v>
      </c>
      <c r="F99" t="s">
        <v>21</v>
      </c>
      <c r="G99" s="2">
        <v>2</v>
      </c>
      <c r="H99" s="3">
        <v>424</v>
      </c>
      <c r="I99" s="3">
        <v>258</v>
      </c>
      <c r="J99" s="3">
        <v>166</v>
      </c>
    </row>
    <row r="100" spans="1:10" x14ac:dyDescent="0.25">
      <c r="A100" t="s">
        <v>220</v>
      </c>
      <c r="B100" s="1" t="s">
        <v>221</v>
      </c>
      <c r="C100" t="s">
        <v>24</v>
      </c>
      <c r="D100" t="s">
        <v>28</v>
      </c>
      <c r="E100" t="s">
        <v>14</v>
      </c>
      <c r="F100" t="s">
        <v>15</v>
      </c>
      <c r="G100" s="2">
        <v>4</v>
      </c>
      <c r="H100" s="3">
        <v>1996</v>
      </c>
      <c r="I100" s="3">
        <v>1398</v>
      </c>
      <c r="J100" s="3">
        <v>598</v>
      </c>
    </row>
    <row r="101" spans="1:10" x14ac:dyDescent="0.25">
      <c r="A101" t="s">
        <v>222</v>
      </c>
      <c r="B101" s="1" t="s">
        <v>62</v>
      </c>
      <c r="C101" t="s">
        <v>12</v>
      </c>
      <c r="D101" t="s">
        <v>13</v>
      </c>
      <c r="E101" t="s">
        <v>20</v>
      </c>
      <c r="F101" t="s">
        <v>21</v>
      </c>
      <c r="G101" s="2">
        <v>1</v>
      </c>
      <c r="H101" s="3">
        <v>636</v>
      </c>
      <c r="I101" s="3">
        <v>458</v>
      </c>
      <c r="J101" s="3">
        <v>178</v>
      </c>
    </row>
    <row r="102" spans="1:10" x14ac:dyDescent="0.25">
      <c r="A102" t="s">
        <v>223</v>
      </c>
      <c r="B102" s="1" t="s">
        <v>125</v>
      </c>
      <c r="C102" t="s">
        <v>24</v>
      </c>
      <c r="D102" t="s">
        <v>32</v>
      </c>
      <c r="E102" t="s">
        <v>38</v>
      </c>
      <c r="F102" t="s">
        <v>21</v>
      </c>
      <c r="G102" s="2">
        <v>4</v>
      </c>
      <c r="H102" s="3">
        <v>772</v>
      </c>
      <c r="I102" s="3">
        <v>489</v>
      </c>
      <c r="J102" s="3">
        <v>283</v>
      </c>
    </row>
    <row r="103" spans="1:10" x14ac:dyDescent="0.25">
      <c r="A103" t="s">
        <v>224</v>
      </c>
      <c r="B103" s="1" t="s">
        <v>184</v>
      </c>
      <c r="C103" t="s">
        <v>12</v>
      </c>
      <c r="D103" t="s">
        <v>13</v>
      </c>
      <c r="E103" t="s">
        <v>14</v>
      </c>
      <c r="F103" t="s">
        <v>15</v>
      </c>
      <c r="G103" s="2">
        <v>2</v>
      </c>
      <c r="H103" s="3">
        <v>2228</v>
      </c>
      <c r="I103" s="3">
        <v>1658</v>
      </c>
      <c r="J103" s="3">
        <v>570</v>
      </c>
    </row>
    <row r="104" spans="1:10" x14ac:dyDescent="0.25">
      <c r="A104" t="s">
        <v>225</v>
      </c>
      <c r="B104" s="1" t="s">
        <v>226</v>
      </c>
      <c r="C104" t="s">
        <v>12</v>
      </c>
      <c r="D104" t="s">
        <v>13</v>
      </c>
      <c r="E104" t="s">
        <v>58</v>
      </c>
      <c r="F104" t="s">
        <v>15</v>
      </c>
      <c r="G104" s="2">
        <v>3</v>
      </c>
      <c r="H104" s="3">
        <v>2616</v>
      </c>
      <c r="I104" s="3">
        <v>2005</v>
      </c>
      <c r="J104" s="3">
        <v>611</v>
      </c>
    </row>
    <row r="105" spans="1:10" x14ac:dyDescent="0.25">
      <c r="A105" t="s">
        <v>227</v>
      </c>
      <c r="B105" s="1" t="s">
        <v>205</v>
      </c>
      <c r="C105" t="s">
        <v>18</v>
      </c>
      <c r="D105" t="s">
        <v>19</v>
      </c>
      <c r="E105" t="s">
        <v>29</v>
      </c>
      <c r="F105" t="s">
        <v>15</v>
      </c>
      <c r="G105" s="2">
        <v>4</v>
      </c>
      <c r="H105" s="3">
        <v>1072</v>
      </c>
      <c r="I105" s="3">
        <v>661</v>
      </c>
      <c r="J105" s="3">
        <v>411</v>
      </c>
    </row>
    <row r="106" spans="1:10" x14ac:dyDescent="0.25">
      <c r="A106" t="s">
        <v>228</v>
      </c>
      <c r="B106" s="1" t="s">
        <v>229</v>
      </c>
      <c r="C106" t="s">
        <v>27</v>
      </c>
      <c r="D106" t="s">
        <v>13</v>
      </c>
      <c r="E106" t="s">
        <v>58</v>
      </c>
      <c r="F106" t="s">
        <v>15</v>
      </c>
      <c r="G106" s="2">
        <v>4</v>
      </c>
      <c r="H106" s="3">
        <v>4216</v>
      </c>
      <c r="I106" s="3">
        <v>2967</v>
      </c>
      <c r="J106" s="3">
        <v>1249</v>
      </c>
    </row>
    <row r="107" spans="1:10" x14ac:dyDescent="0.25">
      <c r="A107" t="s">
        <v>230</v>
      </c>
      <c r="B107" s="1" t="s">
        <v>140</v>
      </c>
      <c r="C107" t="s">
        <v>12</v>
      </c>
      <c r="D107" t="s">
        <v>28</v>
      </c>
      <c r="E107" t="s">
        <v>38</v>
      </c>
      <c r="F107" t="s">
        <v>21</v>
      </c>
      <c r="G107" s="2">
        <v>4</v>
      </c>
      <c r="H107" s="3">
        <v>1864</v>
      </c>
      <c r="I107" s="3">
        <v>1156</v>
      </c>
      <c r="J107" s="3">
        <v>708</v>
      </c>
    </row>
    <row r="108" spans="1:10" x14ac:dyDescent="0.25">
      <c r="A108" t="s">
        <v>231</v>
      </c>
      <c r="B108" s="1" t="s">
        <v>180</v>
      </c>
      <c r="C108" t="s">
        <v>24</v>
      </c>
      <c r="D108" t="s">
        <v>19</v>
      </c>
      <c r="E108" t="s">
        <v>71</v>
      </c>
      <c r="F108" t="s">
        <v>21</v>
      </c>
      <c r="G108" s="2">
        <v>2</v>
      </c>
      <c r="H108" s="3">
        <v>848</v>
      </c>
      <c r="I108" s="3">
        <v>600</v>
      </c>
      <c r="J108" s="3">
        <v>248</v>
      </c>
    </row>
    <row r="109" spans="1:10" x14ac:dyDescent="0.25">
      <c r="A109" t="s">
        <v>232</v>
      </c>
      <c r="B109" s="1" t="s">
        <v>233</v>
      </c>
      <c r="C109" t="s">
        <v>18</v>
      </c>
      <c r="D109" t="s">
        <v>47</v>
      </c>
      <c r="E109" t="s">
        <v>71</v>
      </c>
      <c r="F109" t="s">
        <v>21</v>
      </c>
      <c r="G109" s="2">
        <v>4</v>
      </c>
      <c r="H109" s="3">
        <v>1724</v>
      </c>
      <c r="I109" s="3">
        <v>1265</v>
      </c>
      <c r="J109" s="3">
        <v>459</v>
      </c>
    </row>
    <row r="110" spans="1:10" x14ac:dyDescent="0.25">
      <c r="A110" t="s">
        <v>234</v>
      </c>
      <c r="B110" s="1" t="s">
        <v>152</v>
      </c>
      <c r="C110" t="s">
        <v>18</v>
      </c>
      <c r="D110" t="s">
        <v>37</v>
      </c>
      <c r="E110" t="s">
        <v>38</v>
      </c>
      <c r="F110" t="s">
        <v>21</v>
      </c>
      <c r="G110" s="2">
        <v>4</v>
      </c>
      <c r="H110" s="3">
        <v>416</v>
      </c>
      <c r="I110" s="3">
        <v>302</v>
      </c>
      <c r="J110" s="3">
        <v>114</v>
      </c>
    </row>
    <row r="111" spans="1:10" x14ac:dyDescent="0.25">
      <c r="A111" t="s">
        <v>235</v>
      </c>
      <c r="B111" s="1" t="s">
        <v>236</v>
      </c>
      <c r="C111" t="s">
        <v>18</v>
      </c>
      <c r="D111" t="s">
        <v>37</v>
      </c>
      <c r="E111" t="s">
        <v>71</v>
      </c>
      <c r="F111" t="s">
        <v>21</v>
      </c>
      <c r="G111" s="2">
        <v>1</v>
      </c>
      <c r="H111" s="3">
        <v>1063</v>
      </c>
      <c r="I111" s="3">
        <v>800</v>
      </c>
      <c r="J111" s="3">
        <v>263</v>
      </c>
    </row>
    <row r="112" spans="1:10" x14ac:dyDescent="0.25">
      <c r="A112" t="s">
        <v>237</v>
      </c>
      <c r="B112" s="1" t="s">
        <v>238</v>
      </c>
      <c r="C112" t="s">
        <v>12</v>
      </c>
      <c r="D112" t="s">
        <v>19</v>
      </c>
      <c r="E112" t="s">
        <v>71</v>
      </c>
      <c r="F112" t="s">
        <v>21</v>
      </c>
      <c r="G112" s="2">
        <v>2</v>
      </c>
      <c r="H112" s="3">
        <v>874</v>
      </c>
      <c r="I112" s="3">
        <v>532</v>
      </c>
      <c r="J112" s="3">
        <v>342</v>
      </c>
    </row>
    <row r="113" spans="1:10" x14ac:dyDescent="0.25">
      <c r="A113" t="s">
        <v>239</v>
      </c>
      <c r="B113" s="1" t="s">
        <v>240</v>
      </c>
      <c r="C113" t="s">
        <v>18</v>
      </c>
      <c r="D113" t="s">
        <v>47</v>
      </c>
      <c r="E113" t="s">
        <v>71</v>
      </c>
      <c r="F113" t="s">
        <v>21</v>
      </c>
      <c r="G113" s="2">
        <v>5</v>
      </c>
      <c r="H113" s="3">
        <v>2340</v>
      </c>
      <c r="I113" s="3">
        <v>1779</v>
      </c>
      <c r="J113" s="3">
        <v>561</v>
      </c>
    </row>
    <row r="114" spans="1:10" x14ac:dyDescent="0.25">
      <c r="A114" t="s">
        <v>241</v>
      </c>
      <c r="B114" s="1" t="s">
        <v>242</v>
      </c>
      <c r="C114" t="s">
        <v>12</v>
      </c>
      <c r="D114" t="s">
        <v>47</v>
      </c>
      <c r="E114" t="s">
        <v>20</v>
      </c>
      <c r="F114" t="s">
        <v>21</v>
      </c>
      <c r="G114" s="2">
        <v>3</v>
      </c>
      <c r="H114" s="3">
        <v>2751</v>
      </c>
      <c r="I114" s="3">
        <v>2043</v>
      </c>
      <c r="J114" s="3">
        <v>708</v>
      </c>
    </row>
    <row r="115" spans="1:10" x14ac:dyDescent="0.25">
      <c r="A115" t="s">
        <v>243</v>
      </c>
      <c r="B115" s="1" t="s">
        <v>244</v>
      </c>
      <c r="C115" t="s">
        <v>12</v>
      </c>
      <c r="D115" t="s">
        <v>28</v>
      </c>
      <c r="E115" t="s">
        <v>20</v>
      </c>
      <c r="F115" t="s">
        <v>21</v>
      </c>
      <c r="G115" s="2">
        <v>4</v>
      </c>
      <c r="H115" s="3">
        <v>2556</v>
      </c>
      <c r="I115" s="3">
        <v>1788</v>
      </c>
      <c r="J115" s="3">
        <v>768</v>
      </c>
    </row>
    <row r="116" spans="1:10" x14ac:dyDescent="0.25">
      <c r="A116" t="s">
        <v>245</v>
      </c>
      <c r="B116" s="1" t="s">
        <v>246</v>
      </c>
      <c r="C116" t="s">
        <v>24</v>
      </c>
      <c r="D116" t="s">
        <v>28</v>
      </c>
      <c r="E116" t="s">
        <v>38</v>
      </c>
      <c r="F116" t="s">
        <v>21</v>
      </c>
      <c r="G116" s="2">
        <v>5</v>
      </c>
      <c r="H116" s="3">
        <v>3445</v>
      </c>
      <c r="I116" s="3">
        <v>2580</v>
      </c>
      <c r="J116" s="3">
        <v>865</v>
      </c>
    </row>
    <row r="117" spans="1:10" x14ac:dyDescent="0.25">
      <c r="A117" t="s">
        <v>247</v>
      </c>
      <c r="B117" s="1" t="s">
        <v>248</v>
      </c>
      <c r="C117" t="s">
        <v>12</v>
      </c>
      <c r="D117" t="s">
        <v>47</v>
      </c>
      <c r="E117" t="s">
        <v>38</v>
      </c>
      <c r="F117" t="s">
        <v>21</v>
      </c>
      <c r="G117" s="2">
        <v>3</v>
      </c>
      <c r="H117" s="3">
        <v>1842</v>
      </c>
      <c r="I117" s="3">
        <v>1450</v>
      </c>
      <c r="J117" s="3">
        <v>392</v>
      </c>
    </row>
    <row r="118" spans="1:10" x14ac:dyDescent="0.25">
      <c r="A118" t="s">
        <v>249</v>
      </c>
      <c r="B118" s="1" t="s">
        <v>250</v>
      </c>
      <c r="C118" t="s">
        <v>24</v>
      </c>
      <c r="D118" t="s">
        <v>19</v>
      </c>
      <c r="E118" t="s">
        <v>71</v>
      </c>
      <c r="F118" t="s">
        <v>21</v>
      </c>
      <c r="G118" s="2">
        <v>2</v>
      </c>
      <c r="H118" s="3">
        <v>1048</v>
      </c>
      <c r="I118" s="3">
        <v>812</v>
      </c>
      <c r="J118" s="3">
        <v>236</v>
      </c>
    </row>
    <row r="119" spans="1:10" x14ac:dyDescent="0.25">
      <c r="A119" t="s">
        <v>251</v>
      </c>
      <c r="B119" s="1" t="s">
        <v>252</v>
      </c>
      <c r="C119" t="s">
        <v>27</v>
      </c>
      <c r="D119" t="s">
        <v>32</v>
      </c>
      <c r="E119" t="s">
        <v>14</v>
      </c>
      <c r="F119" t="s">
        <v>15</v>
      </c>
      <c r="G119" s="2">
        <v>5</v>
      </c>
      <c r="H119" s="3">
        <v>2475</v>
      </c>
      <c r="I119" s="3">
        <v>1703</v>
      </c>
      <c r="J119" s="3">
        <v>772</v>
      </c>
    </row>
    <row r="120" spans="1:10" x14ac:dyDescent="0.25">
      <c r="A120" t="s">
        <v>253</v>
      </c>
      <c r="B120" s="1" t="s">
        <v>219</v>
      </c>
      <c r="C120" t="s">
        <v>27</v>
      </c>
      <c r="D120" t="s">
        <v>37</v>
      </c>
      <c r="E120" t="s">
        <v>71</v>
      </c>
      <c r="F120" t="s">
        <v>21</v>
      </c>
      <c r="G120" s="2">
        <v>2</v>
      </c>
      <c r="H120" s="3">
        <v>1608</v>
      </c>
      <c r="I120" s="3">
        <v>997</v>
      </c>
      <c r="J120" s="3">
        <v>611</v>
      </c>
    </row>
    <row r="121" spans="1:10" x14ac:dyDescent="0.25">
      <c r="A121" t="s">
        <v>254</v>
      </c>
      <c r="B121" s="1" t="s">
        <v>255</v>
      </c>
      <c r="C121" t="s">
        <v>24</v>
      </c>
      <c r="D121" t="s">
        <v>13</v>
      </c>
      <c r="E121" t="s">
        <v>38</v>
      </c>
      <c r="F121" t="s">
        <v>21</v>
      </c>
      <c r="G121" s="2">
        <v>3</v>
      </c>
      <c r="H121" s="3">
        <v>2196</v>
      </c>
      <c r="I121" s="3">
        <v>1648</v>
      </c>
      <c r="J121" s="3">
        <v>548</v>
      </c>
    </row>
    <row r="122" spans="1:10" x14ac:dyDescent="0.25">
      <c r="A122" t="s">
        <v>256</v>
      </c>
      <c r="B122" s="1" t="s">
        <v>257</v>
      </c>
      <c r="C122" t="s">
        <v>27</v>
      </c>
      <c r="D122" t="s">
        <v>37</v>
      </c>
      <c r="E122" t="s">
        <v>38</v>
      </c>
      <c r="F122" t="s">
        <v>21</v>
      </c>
      <c r="G122" s="2">
        <v>3</v>
      </c>
      <c r="H122" s="3">
        <v>594</v>
      </c>
      <c r="I122" s="3">
        <v>393</v>
      </c>
      <c r="J122" s="3">
        <v>201</v>
      </c>
    </row>
    <row r="123" spans="1:10" x14ac:dyDescent="0.25">
      <c r="A123" t="s">
        <v>258</v>
      </c>
      <c r="B123" s="1" t="s">
        <v>259</v>
      </c>
      <c r="C123" t="s">
        <v>12</v>
      </c>
      <c r="D123" t="s">
        <v>13</v>
      </c>
      <c r="E123" t="s">
        <v>20</v>
      </c>
      <c r="F123" t="s">
        <v>21</v>
      </c>
      <c r="G123" s="2">
        <v>5</v>
      </c>
      <c r="H123" s="3">
        <v>1885</v>
      </c>
      <c r="I123" s="3">
        <v>1221</v>
      </c>
      <c r="J123" s="3">
        <v>664</v>
      </c>
    </row>
    <row r="124" spans="1:10" x14ac:dyDescent="0.25">
      <c r="A124" t="s">
        <v>260</v>
      </c>
      <c r="B124" s="1" t="s">
        <v>261</v>
      </c>
      <c r="C124" t="s">
        <v>24</v>
      </c>
      <c r="D124" t="s">
        <v>32</v>
      </c>
      <c r="E124" t="s">
        <v>58</v>
      </c>
      <c r="F124" t="s">
        <v>15</v>
      </c>
      <c r="G124" s="2">
        <v>3</v>
      </c>
      <c r="H124" s="3">
        <v>2712</v>
      </c>
      <c r="I124" s="3">
        <v>1984</v>
      </c>
      <c r="J124" s="3">
        <v>728</v>
      </c>
    </row>
    <row r="125" spans="1:10" x14ac:dyDescent="0.25">
      <c r="A125" t="s">
        <v>262</v>
      </c>
      <c r="B125" s="1" t="s">
        <v>138</v>
      </c>
      <c r="C125" t="s">
        <v>27</v>
      </c>
      <c r="D125" t="s">
        <v>37</v>
      </c>
      <c r="E125" t="s">
        <v>71</v>
      </c>
      <c r="F125" t="s">
        <v>21</v>
      </c>
      <c r="G125" s="2">
        <v>2</v>
      </c>
      <c r="H125" s="3">
        <v>1494</v>
      </c>
      <c r="I125" s="3">
        <v>1013</v>
      </c>
      <c r="J125" s="3">
        <v>481</v>
      </c>
    </row>
    <row r="126" spans="1:10" x14ac:dyDescent="0.25">
      <c r="A126" t="s">
        <v>263</v>
      </c>
      <c r="B126" s="1" t="s">
        <v>264</v>
      </c>
      <c r="C126" t="s">
        <v>12</v>
      </c>
      <c r="D126" t="s">
        <v>28</v>
      </c>
      <c r="E126" t="s">
        <v>71</v>
      </c>
      <c r="F126" t="s">
        <v>21</v>
      </c>
      <c r="G126" s="2">
        <v>2</v>
      </c>
      <c r="H126" s="3">
        <v>236</v>
      </c>
      <c r="I126" s="3">
        <v>178</v>
      </c>
      <c r="J126" s="3">
        <v>58</v>
      </c>
    </row>
    <row r="127" spans="1:10" x14ac:dyDescent="0.25">
      <c r="A127" t="s">
        <v>265</v>
      </c>
      <c r="B127" s="1" t="s">
        <v>266</v>
      </c>
      <c r="C127" t="s">
        <v>27</v>
      </c>
      <c r="D127" t="s">
        <v>47</v>
      </c>
      <c r="E127" t="s">
        <v>14</v>
      </c>
      <c r="F127" t="s">
        <v>15</v>
      </c>
      <c r="G127" s="2">
        <v>5</v>
      </c>
      <c r="H127" s="3">
        <v>5980</v>
      </c>
      <c r="I127" s="3">
        <v>3898</v>
      </c>
      <c r="J127" s="3">
        <v>2082</v>
      </c>
    </row>
    <row r="128" spans="1:10" x14ac:dyDescent="0.25">
      <c r="A128" t="s">
        <v>267</v>
      </c>
      <c r="B128" s="1" t="s">
        <v>268</v>
      </c>
      <c r="C128" t="s">
        <v>24</v>
      </c>
      <c r="D128" t="s">
        <v>47</v>
      </c>
      <c r="E128" t="s">
        <v>71</v>
      </c>
      <c r="F128" t="s">
        <v>21</v>
      </c>
      <c r="G128" s="2">
        <v>4</v>
      </c>
      <c r="H128" s="3">
        <v>1868</v>
      </c>
      <c r="I128" s="3">
        <v>1314</v>
      </c>
      <c r="J128" s="3">
        <v>554</v>
      </c>
    </row>
    <row r="129" spans="1:10" x14ac:dyDescent="0.25">
      <c r="A129" t="s">
        <v>269</v>
      </c>
      <c r="B129" s="1" t="s">
        <v>270</v>
      </c>
      <c r="C129" t="s">
        <v>12</v>
      </c>
      <c r="D129" t="s">
        <v>47</v>
      </c>
      <c r="E129" t="s">
        <v>58</v>
      </c>
      <c r="F129" t="s">
        <v>15</v>
      </c>
      <c r="G129" s="2">
        <v>3</v>
      </c>
      <c r="H129" s="3">
        <v>1875</v>
      </c>
      <c r="I129" s="3">
        <v>1220</v>
      </c>
      <c r="J129" s="3">
        <v>655</v>
      </c>
    </row>
    <row r="130" spans="1:10" x14ac:dyDescent="0.25">
      <c r="A130" t="s">
        <v>271</v>
      </c>
      <c r="B130" s="1" t="s">
        <v>107</v>
      </c>
      <c r="C130" t="s">
        <v>18</v>
      </c>
      <c r="D130" t="s">
        <v>32</v>
      </c>
      <c r="E130" t="s">
        <v>20</v>
      </c>
      <c r="F130" t="s">
        <v>21</v>
      </c>
      <c r="G130" s="2">
        <v>3</v>
      </c>
      <c r="H130" s="3">
        <v>3351</v>
      </c>
      <c r="I130" s="3">
        <v>2647</v>
      </c>
      <c r="J130" s="3">
        <v>704</v>
      </c>
    </row>
    <row r="131" spans="1:10" x14ac:dyDescent="0.25">
      <c r="A131" t="s">
        <v>272</v>
      </c>
      <c r="B131" s="1" t="s">
        <v>169</v>
      </c>
      <c r="C131" t="s">
        <v>27</v>
      </c>
      <c r="D131" t="s">
        <v>13</v>
      </c>
      <c r="E131" t="s">
        <v>29</v>
      </c>
      <c r="F131" t="s">
        <v>15</v>
      </c>
      <c r="G131" s="2">
        <v>2</v>
      </c>
      <c r="H131" s="3">
        <v>1024</v>
      </c>
      <c r="I131" s="3">
        <v>749</v>
      </c>
      <c r="J131" s="3">
        <v>275</v>
      </c>
    </row>
    <row r="132" spans="1:10" x14ac:dyDescent="0.25">
      <c r="A132" t="s">
        <v>273</v>
      </c>
      <c r="B132" s="1" t="s">
        <v>274</v>
      </c>
      <c r="C132" t="s">
        <v>24</v>
      </c>
      <c r="D132" t="s">
        <v>19</v>
      </c>
      <c r="E132" t="s">
        <v>38</v>
      </c>
      <c r="F132" t="s">
        <v>21</v>
      </c>
      <c r="G132" s="2">
        <v>1</v>
      </c>
      <c r="H132" s="3">
        <v>432</v>
      </c>
      <c r="I132" s="3">
        <v>286</v>
      </c>
      <c r="J132" s="3">
        <v>146</v>
      </c>
    </row>
    <row r="133" spans="1:10" x14ac:dyDescent="0.25">
      <c r="A133" t="s">
        <v>275</v>
      </c>
      <c r="B133" s="1" t="s">
        <v>276</v>
      </c>
      <c r="C133" t="s">
        <v>12</v>
      </c>
      <c r="D133" t="s">
        <v>19</v>
      </c>
      <c r="E133" t="s">
        <v>58</v>
      </c>
      <c r="F133" t="s">
        <v>15</v>
      </c>
      <c r="G133" s="2">
        <v>4</v>
      </c>
      <c r="H133" s="3">
        <v>3504</v>
      </c>
      <c r="I133" s="3">
        <v>2524</v>
      </c>
      <c r="J133" s="3">
        <v>980</v>
      </c>
    </row>
    <row r="134" spans="1:10" x14ac:dyDescent="0.25">
      <c r="A134" t="s">
        <v>277</v>
      </c>
      <c r="B134" s="1" t="s">
        <v>278</v>
      </c>
      <c r="C134" t="s">
        <v>12</v>
      </c>
      <c r="D134" t="s">
        <v>19</v>
      </c>
      <c r="E134" t="s">
        <v>38</v>
      </c>
      <c r="F134" t="s">
        <v>21</v>
      </c>
      <c r="G134" s="2">
        <v>4</v>
      </c>
      <c r="H134" s="3">
        <v>2480</v>
      </c>
      <c r="I134" s="3">
        <v>1731</v>
      </c>
      <c r="J134" s="3">
        <v>749</v>
      </c>
    </row>
    <row r="135" spans="1:10" x14ac:dyDescent="0.25">
      <c r="A135" t="s">
        <v>279</v>
      </c>
      <c r="B135" s="1" t="s">
        <v>280</v>
      </c>
      <c r="C135" t="s">
        <v>24</v>
      </c>
      <c r="D135" t="s">
        <v>28</v>
      </c>
      <c r="E135" t="s">
        <v>14</v>
      </c>
      <c r="F135" t="s">
        <v>15</v>
      </c>
      <c r="G135" s="2">
        <v>4</v>
      </c>
      <c r="H135" s="3">
        <v>1756</v>
      </c>
      <c r="I135" s="3">
        <v>1182</v>
      </c>
      <c r="J135" s="3">
        <v>574</v>
      </c>
    </row>
    <row r="136" spans="1:10" x14ac:dyDescent="0.25">
      <c r="A136" t="s">
        <v>281</v>
      </c>
      <c r="B136" s="1" t="s">
        <v>203</v>
      </c>
      <c r="C136" t="s">
        <v>24</v>
      </c>
      <c r="D136" t="s">
        <v>32</v>
      </c>
      <c r="E136" t="s">
        <v>29</v>
      </c>
      <c r="F136" t="s">
        <v>15</v>
      </c>
      <c r="G136" s="2">
        <v>3</v>
      </c>
      <c r="H136" s="3">
        <v>2409</v>
      </c>
      <c r="I136" s="3">
        <v>1923</v>
      </c>
      <c r="J136" s="3">
        <v>486</v>
      </c>
    </row>
    <row r="137" spans="1:10" x14ac:dyDescent="0.25">
      <c r="A137" t="s">
        <v>282</v>
      </c>
      <c r="B137" s="1" t="s">
        <v>283</v>
      </c>
      <c r="C137" t="s">
        <v>12</v>
      </c>
      <c r="D137" t="s">
        <v>19</v>
      </c>
      <c r="E137" t="s">
        <v>58</v>
      </c>
      <c r="F137" t="s">
        <v>15</v>
      </c>
      <c r="G137" s="2">
        <v>1</v>
      </c>
      <c r="H137" s="3">
        <v>530</v>
      </c>
      <c r="I137" s="3">
        <v>379</v>
      </c>
      <c r="J137" s="3">
        <v>151</v>
      </c>
    </row>
    <row r="138" spans="1:10" x14ac:dyDescent="0.25">
      <c r="A138" t="s">
        <v>284</v>
      </c>
      <c r="B138" s="1" t="s">
        <v>285</v>
      </c>
      <c r="C138" t="s">
        <v>27</v>
      </c>
      <c r="D138" t="s">
        <v>47</v>
      </c>
      <c r="E138" t="s">
        <v>71</v>
      </c>
      <c r="F138" t="s">
        <v>21</v>
      </c>
      <c r="G138" s="2">
        <v>1</v>
      </c>
      <c r="H138" s="3">
        <v>587</v>
      </c>
      <c r="I138" s="3">
        <v>427</v>
      </c>
      <c r="J138" s="3">
        <v>160</v>
      </c>
    </row>
    <row r="139" spans="1:10" x14ac:dyDescent="0.25">
      <c r="A139" t="s">
        <v>286</v>
      </c>
      <c r="B139" s="1" t="s">
        <v>105</v>
      </c>
      <c r="C139" t="s">
        <v>12</v>
      </c>
      <c r="D139" t="s">
        <v>19</v>
      </c>
      <c r="E139" t="s">
        <v>71</v>
      </c>
      <c r="F139" t="s">
        <v>21</v>
      </c>
      <c r="G139" s="2">
        <v>3</v>
      </c>
      <c r="H139" s="3">
        <v>471</v>
      </c>
      <c r="I139" s="3">
        <v>342</v>
      </c>
      <c r="J139" s="3">
        <v>129</v>
      </c>
    </row>
    <row r="140" spans="1:10" x14ac:dyDescent="0.25">
      <c r="A140" t="s">
        <v>287</v>
      </c>
      <c r="B140" s="1" t="s">
        <v>288</v>
      </c>
      <c r="C140" t="s">
        <v>24</v>
      </c>
      <c r="D140" t="s">
        <v>19</v>
      </c>
      <c r="E140" t="s">
        <v>71</v>
      </c>
      <c r="F140" t="s">
        <v>21</v>
      </c>
      <c r="G140" s="2">
        <v>4</v>
      </c>
      <c r="H140" s="3">
        <v>1200</v>
      </c>
      <c r="I140" s="3">
        <v>809</v>
      </c>
      <c r="J140" s="3">
        <v>391</v>
      </c>
    </row>
    <row r="141" spans="1:10" x14ac:dyDescent="0.25">
      <c r="A141" t="s">
        <v>289</v>
      </c>
      <c r="B141" s="1" t="s">
        <v>290</v>
      </c>
      <c r="C141" t="s">
        <v>12</v>
      </c>
      <c r="D141" t="s">
        <v>19</v>
      </c>
      <c r="E141" t="s">
        <v>71</v>
      </c>
      <c r="F141" t="s">
        <v>21</v>
      </c>
      <c r="G141" s="2">
        <v>2</v>
      </c>
      <c r="H141" s="3">
        <v>2088</v>
      </c>
      <c r="I141" s="3">
        <v>1428</v>
      </c>
      <c r="J141" s="3">
        <v>660</v>
      </c>
    </row>
    <row r="142" spans="1:10" x14ac:dyDescent="0.25">
      <c r="A142" t="s">
        <v>291</v>
      </c>
      <c r="B142" s="1" t="s">
        <v>292</v>
      </c>
      <c r="C142" t="s">
        <v>27</v>
      </c>
      <c r="D142" t="s">
        <v>32</v>
      </c>
      <c r="E142" t="s">
        <v>14</v>
      </c>
      <c r="F142" t="s">
        <v>15</v>
      </c>
      <c r="G142" s="2">
        <v>1</v>
      </c>
      <c r="H142" s="3">
        <v>481</v>
      </c>
      <c r="I142" s="3">
        <v>368</v>
      </c>
      <c r="J142" s="3">
        <v>113</v>
      </c>
    </row>
    <row r="143" spans="1:10" x14ac:dyDescent="0.25">
      <c r="A143" t="s">
        <v>293</v>
      </c>
      <c r="B143" s="1" t="s">
        <v>294</v>
      </c>
      <c r="C143" t="s">
        <v>24</v>
      </c>
      <c r="D143" t="s">
        <v>28</v>
      </c>
      <c r="E143" t="s">
        <v>20</v>
      </c>
      <c r="F143" t="s">
        <v>21</v>
      </c>
      <c r="G143" s="2">
        <v>4</v>
      </c>
      <c r="H143" s="3">
        <v>2656</v>
      </c>
      <c r="I143" s="3">
        <v>1627</v>
      </c>
      <c r="J143" s="3">
        <v>1029</v>
      </c>
    </row>
    <row r="144" spans="1:10" x14ac:dyDescent="0.25">
      <c r="A144" t="s">
        <v>295</v>
      </c>
      <c r="B144" s="1" t="s">
        <v>296</v>
      </c>
      <c r="C144" t="s">
        <v>12</v>
      </c>
      <c r="D144" t="s">
        <v>32</v>
      </c>
      <c r="E144" t="s">
        <v>38</v>
      </c>
      <c r="F144" t="s">
        <v>21</v>
      </c>
      <c r="G144" s="2">
        <v>5</v>
      </c>
      <c r="H144" s="3">
        <v>4970</v>
      </c>
      <c r="I144" s="3">
        <v>3085</v>
      </c>
      <c r="J144" s="3">
        <v>1885</v>
      </c>
    </row>
    <row r="145" spans="1:10" x14ac:dyDescent="0.25">
      <c r="A145" t="s">
        <v>297</v>
      </c>
      <c r="B145" s="1" t="s">
        <v>298</v>
      </c>
      <c r="C145" t="s">
        <v>27</v>
      </c>
      <c r="D145" t="s">
        <v>32</v>
      </c>
      <c r="E145" t="s">
        <v>29</v>
      </c>
      <c r="F145" t="s">
        <v>15</v>
      </c>
      <c r="G145" s="2">
        <v>5</v>
      </c>
      <c r="H145" s="3">
        <v>1740</v>
      </c>
      <c r="I145" s="3">
        <v>1344</v>
      </c>
      <c r="J145" s="3">
        <v>396</v>
      </c>
    </row>
    <row r="146" spans="1:10" x14ac:dyDescent="0.25">
      <c r="A146" t="s">
        <v>299</v>
      </c>
      <c r="B146" s="1" t="s">
        <v>300</v>
      </c>
      <c r="C146" t="s">
        <v>27</v>
      </c>
      <c r="D146" t="s">
        <v>19</v>
      </c>
      <c r="E146" t="s">
        <v>14</v>
      </c>
      <c r="F146" t="s">
        <v>15</v>
      </c>
      <c r="G146" s="2">
        <v>1</v>
      </c>
      <c r="H146" s="3">
        <v>302</v>
      </c>
      <c r="I146" s="3">
        <v>241</v>
      </c>
      <c r="J146" s="3">
        <v>61</v>
      </c>
    </row>
    <row r="147" spans="1:10" x14ac:dyDescent="0.25">
      <c r="A147" t="s">
        <v>301</v>
      </c>
      <c r="B147" s="1" t="s">
        <v>302</v>
      </c>
      <c r="C147" t="s">
        <v>24</v>
      </c>
      <c r="D147" t="s">
        <v>37</v>
      </c>
      <c r="E147" t="s">
        <v>38</v>
      </c>
      <c r="F147" t="s">
        <v>21</v>
      </c>
      <c r="G147" s="2">
        <v>5</v>
      </c>
      <c r="H147" s="3">
        <v>1160</v>
      </c>
      <c r="I147" s="3">
        <v>927</v>
      </c>
      <c r="J147" s="3">
        <v>233</v>
      </c>
    </row>
    <row r="148" spans="1:10" x14ac:dyDescent="0.25">
      <c r="A148" t="s">
        <v>303</v>
      </c>
      <c r="B148" s="1" t="s">
        <v>304</v>
      </c>
      <c r="C148" t="s">
        <v>12</v>
      </c>
      <c r="D148" t="s">
        <v>37</v>
      </c>
      <c r="E148" t="s">
        <v>58</v>
      </c>
      <c r="F148" t="s">
        <v>15</v>
      </c>
      <c r="G148" s="2">
        <v>5</v>
      </c>
      <c r="H148" s="3">
        <v>2485</v>
      </c>
      <c r="I148" s="3">
        <v>1914</v>
      </c>
      <c r="J148" s="3">
        <v>571</v>
      </c>
    </row>
    <row r="149" spans="1:10" x14ac:dyDescent="0.25">
      <c r="A149" t="s">
        <v>305</v>
      </c>
      <c r="B149" s="1" t="s">
        <v>128</v>
      </c>
      <c r="C149" t="s">
        <v>18</v>
      </c>
      <c r="D149" t="s">
        <v>19</v>
      </c>
      <c r="E149" t="s">
        <v>38</v>
      </c>
      <c r="F149" t="s">
        <v>21</v>
      </c>
      <c r="G149" s="2">
        <v>1</v>
      </c>
      <c r="H149" s="3">
        <v>814</v>
      </c>
      <c r="I149" s="3">
        <v>542</v>
      </c>
      <c r="J149" s="3">
        <v>272</v>
      </c>
    </row>
    <row r="150" spans="1:10" x14ac:dyDescent="0.25">
      <c r="A150" t="s">
        <v>306</v>
      </c>
      <c r="B150" s="1" t="s">
        <v>31</v>
      </c>
      <c r="C150" t="s">
        <v>24</v>
      </c>
      <c r="D150" t="s">
        <v>37</v>
      </c>
      <c r="E150" t="s">
        <v>20</v>
      </c>
      <c r="F150" t="s">
        <v>21</v>
      </c>
      <c r="G150" s="2">
        <v>3</v>
      </c>
      <c r="H150" s="3">
        <v>1665</v>
      </c>
      <c r="I150" s="3">
        <v>1073</v>
      </c>
      <c r="J150" s="3">
        <v>592</v>
      </c>
    </row>
    <row r="151" spans="1:10" x14ac:dyDescent="0.25">
      <c r="A151" t="s">
        <v>307</v>
      </c>
      <c r="B151" s="1" t="s">
        <v>89</v>
      </c>
      <c r="C151" t="s">
        <v>27</v>
      </c>
      <c r="D151" t="s">
        <v>28</v>
      </c>
      <c r="E151" t="s">
        <v>58</v>
      </c>
      <c r="F151" t="s">
        <v>15</v>
      </c>
      <c r="G151" s="2">
        <v>4</v>
      </c>
      <c r="H151" s="3">
        <v>1044</v>
      </c>
      <c r="I151" s="3">
        <v>719</v>
      </c>
      <c r="J151" s="3">
        <v>325</v>
      </c>
    </row>
    <row r="152" spans="1:10" x14ac:dyDescent="0.25">
      <c r="A152" t="s">
        <v>308</v>
      </c>
      <c r="B152" s="1" t="s">
        <v>309</v>
      </c>
      <c r="C152" t="s">
        <v>24</v>
      </c>
      <c r="D152" t="s">
        <v>47</v>
      </c>
      <c r="E152" t="s">
        <v>29</v>
      </c>
      <c r="F152" t="s">
        <v>15</v>
      </c>
      <c r="G152" s="2">
        <v>1</v>
      </c>
      <c r="H152" s="3">
        <v>796</v>
      </c>
      <c r="I152" s="3">
        <v>531</v>
      </c>
      <c r="J152" s="3">
        <v>265</v>
      </c>
    </row>
    <row r="153" spans="1:10" x14ac:dyDescent="0.25">
      <c r="A153" t="s">
        <v>310</v>
      </c>
      <c r="B153" s="1" t="s">
        <v>44</v>
      </c>
      <c r="C153" t="s">
        <v>12</v>
      </c>
      <c r="D153" t="s">
        <v>32</v>
      </c>
      <c r="E153" t="s">
        <v>14</v>
      </c>
      <c r="F153" t="s">
        <v>15</v>
      </c>
      <c r="G153" s="2">
        <v>4</v>
      </c>
      <c r="H153" s="3">
        <v>2424</v>
      </c>
      <c r="I153" s="3">
        <v>1461</v>
      </c>
      <c r="J153" s="3">
        <v>963</v>
      </c>
    </row>
    <row r="154" spans="1:10" x14ac:dyDescent="0.25">
      <c r="A154" t="s">
        <v>311</v>
      </c>
      <c r="B154" s="1" t="s">
        <v>55</v>
      </c>
      <c r="C154" t="s">
        <v>24</v>
      </c>
      <c r="D154" t="s">
        <v>47</v>
      </c>
      <c r="E154" t="s">
        <v>58</v>
      </c>
      <c r="F154" t="s">
        <v>15</v>
      </c>
      <c r="G154" s="2">
        <v>3</v>
      </c>
      <c r="H154" s="3">
        <v>3534</v>
      </c>
      <c r="I154" s="3">
        <v>2761</v>
      </c>
      <c r="J154" s="3">
        <v>773</v>
      </c>
    </row>
    <row r="155" spans="1:10" x14ac:dyDescent="0.25">
      <c r="A155" t="s">
        <v>312</v>
      </c>
      <c r="B155" s="1" t="s">
        <v>255</v>
      </c>
      <c r="C155" t="s">
        <v>27</v>
      </c>
      <c r="D155" t="s">
        <v>13</v>
      </c>
      <c r="E155" t="s">
        <v>58</v>
      </c>
      <c r="F155" t="s">
        <v>15</v>
      </c>
      <c r="G155" s="2">
        <v>2</v>
      </c>
      <c r="H155" s="3">
        <v>1380</v>
      </c>
      <c r="I155" s="3">
        <v>844</v>
      </c>
      <c r="J155" s="3">
        <v>536</v>
      </c>
    </row>
    <row r="156" spans="1:10" x14ac:dyDescent="0.25">
      <c r="A156" t="s">
        <v>313</v>
      </c>
      <c r="B156" s="1" t="s">
        <v>244</v>
      </c>
      <c r="C156" t="s">
        <v>18</v>
      </c>
      <c r="D156" t="s">
        <v>13</v>
      </c>
      <c r="E156" t="s">
        <v>38</v>
      </c>
      <c r="F156" t="s">
        <v>21</v>
      </c>
      <c r="G156" s="2">
        <v>1</v>
      </c>
      <c r="H156" s="3">
        <v>553</v>
      </c>
      <c r="I156" s="3">
        <v>409</v>
      </c>
      <c r="J156" s="3">
        <v>144</v>
      </c>
    </row>
    <row r="157" spans="1:10" x14ac:dyDescent="0.25">
      <c r="A157" t="s">
        <v>314</v>
      </c>
      <c r="B157" s="1" t="s">
        <v>121</v>
      </c>
      <c r="C157" t="s">
        <v>24</v>
      </c>
      <c r="D157" t="s">
        <v>28</v>
      </c>
      <c r="E157" t="s">
        <v>14</v>
      </c>
      <c r="F157" t="s">
        <v>15</v>
      </c>
      <c r="G157" s="2">
        <v>2</v>
      </c>
      <c r="H157" s="3">
        <v>1472</v>
      </c>
      <c r="I157" s="3">
        <v>956</v>
      </c>
      <c r="J157" s="3">
        <v>516</v>
      </c>
    </row>
    <row r="158" spans="1:10" x14ac:dyDescent="0.25">
      <c r="A158" t="s">
        <v>315</v>
      </c>
      <c r="B158" s="1" t="s">
        <v>316</v>
      </c>
      <c r="C158" t="s">
        <v>12</v>
      </c>
      <c r="D158" t="s">
        <v>19</v>
      </c>
      <c r="E158" t="s">
        <v>29</v>
      </c>
      <c r="F158" t="s">
        <v>15</v>
      </c>
      <c r="G158" s="2">
        <v>4</v>
      </c>
      <c r="H158" s="3">
        <v>3572</v>
      </c>
      <c r="I158" s="3">
        <v>2687</v>
      </c>
      <c r="J158" s="3">
        <v>885</v>
      </c>
    </row>
    <row r="159" spans="1:10" x14ac:dyDescent="0.25">
      <c r="A159" t="s">
        <v>317</v>
      </c>
      <c r="B159" s="1" t="s">
        <v>318</v>
      </c>
      <c r="C159" t="s">
        <v>24</v>
      </c>
      <c r="D159" t="s">
        <v>47</v>
      </c>
      <c r="E159" t="s">
        <v>29</v>
      </c>
      <c r="F159" t="s">
        <v>15</v>
      </c>
      <c r="G159" s="2">
        <v>4</v>
      </c>
      <c r="H159" s="3">
        <v>3184</v>
      </c>
      <c r="I159" s="3">
        <v>2271</v>
      </c>
      <c r="J159" s="3">
        <v>913</v>
      </c>
    </row>
    <row r="160" spans="1:10" x14ac:dyDescent="0.25">
      <c r="A160" t="s">
        <v>319</v>
      </c>
      <c r="B160" s="1" t="s">
        <v>320</v>
      </c>
      <c r="C160" t="s">
        <v>18</v>
      </c>
      <c r="D160" t="s">
        <v>13</v>
      </c>
      <c r="E160" t="s">
        <v>20</v>
      </c>
      <c r="F160" t="s">
        <v>21</v>
      </c>
      <c r="G160" s="2">
        <v>2</v>
      </c>
      <c r="H160" s="3">
        <v>1168</v>
      </c>
      <c r="I160" s="3">
        <v>799</v>
      </c>
      <c r="J160" s="3">
        <v>369</v>
      </c>
    </row>
    <row r="161" spans="1:10" x14ac:dyDescent="0.25">
      <c r="A161" t="s">
        <v>321</v>
      </c>
      <c r="B161" s="1" t="s">
        <v>176</v>
      </c>
      <c r="C161" t="s">
        <v>24</v>
      </c>
      <c r="D161" t="s">
        <v>32</v>
      </c>
      <c r="E161" t="s">
        <v>29</v>
      </c>
      <c r="F161" t="s">
        <v>15</v>
      </c>
      <c r="G161" s="2">
        <v>4</v>
      </c>
      <c r="H161" s="3">
        <v>1844</v>
      </c>
      <c r="I161" s="3">
        <v>1120</v>
      </c>
      <c r="J161" s="3">
        <v>724</v>
      </c>
    </row>
    <row r="162" spans="1:10" x14ac:dyDescent="0.25">
      <c r="A162" t="s">
        <v>322</v>
      </c>
      <c r="B162" s="1" t="s">
        <v>323</v>
      </c>
      <c r="C162" t="s">
        <v>18</v>
      </c>
      <c r="D162" t="s">
        <v>37</v>
      </c>
      <c r="E162" t="s">
        <v>20</v>
      </c>
      <c r="F162" t="s">
        <v>21</v>
      </c>
      <c r="G162" s="2">
        <v>3</v>
      </c>
      <c r="H162" s="3">
        <v>1185</v>
      </c>
      <c r="I162" s="3">
        <v>865</v>
      </c>
      <c r="J162" s="3">
        <v>320</v>
      </c>
    </row>
    <row r="163" spans="1:10" x14ac:dyDescent="0.25">
      <c r="A163" t="s">
        <v>324</v>
      </c>
      <c r="B163" s="1" t="s">
        <v>325</v>
      </c>
      <c r="C163" t="s">
        <v>27</v>
      </c>
      <c r="D163" t="s">
        <v>19</v>
      </c>
      <c r="E163" t="s">
        <v>71</v>
      </c>
      <c r="F163" t="s">
        <v>21</v>
      </c>
      <c r="G163" s="2">
        <v>5</v>
      </c>
      <c r="H163" s="3">
        <v>620</v>
      </c>
      <c r="I163" s="3">
        <v>382</v>
      </c>
      <c r="J163" s="3">
        <v>238</v>
      </c>
    </row>
    <row r="164" spans="1:10" x14ac:dyDescent="0.25">
      <c r="A164" t="s">
        <v>326</v>
      </c>
      <c r="B164" s="1" t="s">
        <v>259</v>
      </c>
      <c r="C164" t="s">
        <v>18</v>
      </c>
      <c r="D164" t="s">
        <v>19</v>
      </c>
      <c r="E164" t="s">
        <v>71</v>
      </c>
      <c r="F164" t="s">
        <v>21</v>
      </c>
      <c r="G164" s="2">
        <v>2</v>
      </c>
      <c r="H164" s="3">
        <v>1024</v>
      </c>
      <c r="I164" s="3">
        <v>794</v>
      </c>
      <c r="J164" s="3">
        <v>230</v>
      </c>
    </row>
    <row r="165" spans="1:10" x14ac:dyDescent="0.25">
      <c r="A165" t="s">
        <v>327</v>
      </c>
      <c r="B165" s="1" t="s">
        <v>328</v>
      </c>
      <c r="C165" t="s">
        <v>18</v>
      </c>
      <c r="D165" t="s">
        <v>32</v>
      </c>
      <c r="E165" t="s">
        <v>58</v>
      </c>
      <c r="F165" t="s">
        <v>15</v>
      </c>
      <c r="G165" s="2">
        <v>5</v>
      </c>
      <c r="H165" s="3">
        <v>3795</v>
      </c>
      <c r="I165" s="3">
        <v>2914</v>
      </c>
      <c r="J165" s="3">
        <v>881</v>
      </c>
    </row>
    <row r="166" spans="1:10" x14ac:dyDescent="0.25">
      <c r="A166" t="s">
        <v>329</v>
      </c>
      <c r="B166" s="1" t="s">
        <v>330</v>
      </c>
      <c r="C166" t="s">
        <v>24</v>
      </c>
      <c r="D166" t="s">
        <v>32</v>
      </c>
      <c r="E166" t="s">
        <v>29</v>
      </c>
      <c r="F166" t="s">
        <v>15</v>
      </c>
      <c r="G166" s="2">
        <v>5</v>
      </c>
      <c r="H166" s="3">
        <v>3425</v>
      </c>
      <c r="I166" s="3">
        <v>2303</v>
      </c>
      <c r="J166" s="3">
        <v>1122</v>
      </c>
    </row>
    <row r="167" spans="1:10" x14ac:dyDescent="0.25">
      <c r="A167" t="s">
        <v>331</v>
      </c>
      <c r="B167" s="1" t="s">
        <v>209</v>
      </c>
      <c r="C167" t="s">
        <v>18</v>
      </c>
      <c r="D167" t="s">
        <v>28</v>
      </c>
      <c r="E167" t="s">
        <v>14</v>
      </c>
      <c r="F167" t="s">
        <v>15</v>
      </c>
      <c r="G167" s="2">
        <v>3</v>
      </c>
      <c r="H167" s="3">
        <v>405</v>
      </c>
      <c r="I167" s="3">
        <v>301</v>
      </c>
      <c r="J167" s="3">
        <v>104</v>
      </c>
    </row>
    <row r="168" spans="1:10" x14ac:dyDescent="0.25">
      <c r="A168" t="s">
        <v>332</v>
      </c>
      <c r="B168" s="1" t="s">
        <v>195</v>
      </c>
      <c r="C168" t="s">
        <v>18</v>
      </c>
      <c r="D168" t="s">
        <v>32</v>
      </c>
      <c r="E168" t="s">
        <v>29</v>
      </c>
      <c r="F168" t="s">
        <v>15</v>
      </c>
      <c r="G168" s="2">
        <v>5</v>
      </c>
      <c r="H168" s="3">
        <v>5830</v>
      </c>
      <c r="I168" s="3">
        <v>3742</v>
      </c>
      <c r="J168" s="3">
        <v>2088</v>
      </c>
    </row>
    <row r="169" spans="1:10" x14ac:dyDescent="0.25">
      <c r="A169" t="s">
        <v>333</v>
      </c>
      <c r="B169" s="1" t="s">
        <v>334</v>
      </c>
      <c r="C169" t="s">
        <v>18</v>
      </c>
      <c r="D169" t="s">
        <v>19</v>
      </c>
      <c r="E169" t="s">
        <v>58</v>
      </c>
      <c r="F169" t="s">
        <v>15</v>
      </c>
      <c r="G169" s="2">
        <v>2</v>
      </c>
      <c r="H169" s="3">
        <v>2176</v>
      </c>
      <c r="I169" s="3">
        <v>1317</v>
      </c>
      <c r="J169" s="3">
        <v>859</v>
      </c>
    </row>
    <row r="170" spans="1:10" x14ac:dyDescent="0.25">
      <c r="A170" t="s">
        <v>335</v>
      </c>
      <c r="B170" s="1" t="s">
        <v>336</v>
      </c>
      <c r="C170" t="s">
        <v>27</v>
      </c>
      <c r="D170" t="s">
        <v>13</v>
      </c>
      <c r="E170" t="s">
        <v>38</v>
      </c>
      <c r="F170" t="s">
        <v>21</v>
      </c>
      <c r="G170" s="2">
        <v>5</v>
      </c>
      <c r="H170" s="3">
        <v>650</v>
      </c>
      <c r="I170" s="3">
        <v>436</v>
      </c>
      <c r="J170" s="3">
        <v>214</v>
      </c>
    </row>
    <row r="171" spans="1:10" x14ac:dyDescent="0.25">
      <c r="A171" t="s">
        <v>337</v>
      </c>
      <c r="B171" s="1" t="s">
        <v>338</v>
      </c>
      <c r="C171" t="s">
        <v>24</v>
      </c>
      <c r="D171" t="s">
        <v>32</v>
      </c>
      <c r="E171" t="s">
        <v>38</v>
      </c>
      <c r="F171" t="s">
        <v>21</v>
      </c>
      <c r="G171" s="2">
        <v>2</v>
      </c>
      <c r="H171" s="3">
        <v>774</v>
      </c>
      <c r="I171" s="3">
        <v>558</v>
      </c>
      <c r="J171" s="3">
        <v>216</v>
      </c>
    </row>
    <row r="172" spans="1:10" x14ac:dyDescent="0.25">
      <c r="A172" t="s">
        <v>339</v>
      </c>
      <c r="B172" s="1" t="s">
        <v>340</v>
      </c>
      <c r="C172" t="s">
        <v>24</v>
      </c>
      <c r="D172" t="s">
        <v>19</v>
      </c>
      <c r="E172" t="s">
        <v>20</v>
      </c>
      <c r="F172" t="s">
        <v>21</v>
      </c>
      <c r="G172" s="2">
        <v>1</v>
      </c>
      <c r="H172" s="3">
        <v>727</v>
      </c>
      <c r="I172" s="3">
        <v>510</v>
      </c>
      <c r="J172" s="3">
        <v>217</v>
      </c>
    </row>
    <row r="173" spans="1:10" x14ac:dyDescent="0.25">
      <c r="A173" t="s">
        <v>341</v>
      </c>
      <c r="B173" s="1" t="s">
        <v>340</v>
      </c>
      <c r="C173" t="s">
        <v>24</v>
      </c>
      <c r="D173" t="s">
        <v>37</v>
      </c>
      <c r="E173" t="s">
        <v>14</v>
      </c>
      <c r="F173" t="s">
        <v>15</v>
      </c>
      <c r="G173" s="2">
        <v>3</v>
      </c>
      <c r="H173" s="3">
        <v>3030</v>
      </c>
      <c r="I173" s="3">
        <v>2039</v>
      </c>
      <c r="J173" s="3">
        <v>991</v>
      </c>
    </row>
    <row r="174" spans="1:10" x14ac:dyDescent="0.25">
      <c r="A174" t="s">
        <v>342</v>
      </c>
      <c r="B174" s="1" t="s">
        <v>343</v>
      </c>
      <c r="C174" t="s">
        <v>27</v>
      </c>
      <c r="D174" t="s">
        <v>13</v>
      </c>
      <c r="E174" t="s">
        <v>14</v>
      </c>
      <c r="F174" t="s">
        <v>15</v>
      </c>
      <c r="G174" s="2">
        <v>1</v>
      </c>
      <c r="H174" s="3">
        <v>305</v>
      </c>
      <c r="I174" s="3">
        <v>209</v>
      </c>
      <c r="J174" s="3">
        <v>96</v>
      </c>
    </row>
    <row r="175" spans="1:10" x14ac:dyDescent="0.25">
      <c r="A175" t="s">
        <v>344</v>
      </c>
      <c r="B175" s="1" t="s">
        <v>345</v>
      </c>
      <c r="C175" t="s">
        <v>12</v>
      </c>
      <c r="D175" t="s">
        <v>13</v>
      </c>
      <c r="E175" t="s">
        <v>71</v>
      </c>
      <c r="F175" t="s">
        <v>21</v>
      </c>
      <c r="G175" s="2">
        <v>2</v>
      </c>
      <c r="H175" s="3">
        <v>1012</v>
      </c>
      <c r="I175" s="3">
        <v>776</v>
      </c>
      <c r="J175" s="3">
        <v>236</v>
      </c>
    </row>
    <row r="176" spans="1:10" x14ac:dyDescent="0.25">
      <c r="A176" t="s">
        <v>346</v>
      </c>
      <c r="B176" s="1" t="s">
        <v>113</v>
      </c>
      <c r="C176" t="s">
        <v>24</v>
      </c>
      <c r="D176" t="s">
        <v>37</v>
      </c>
      <c r="E176" t="s">
        <v>20</v>
      </c>
      <c r="F176" t="s">
        <v>21</v>
      </c>
      <c r="G176" s="2">
        <v>3</v>
      </c>
      <c r="H176" s="3">
        <v>2028</v>
      </c>
      <c r="I176" s="3">
        <v>1592</v>
      </c>
      <c r="J176" s="3">
        <v>436</v>
      </c>
    </row>
    <row r="177" spans="1:10" x14ac:dyDescent="0.25">
      <c r="A177" t="s">
        <v>347</v>
      </c>
      <c r="B177" s="1" t="s">
        <v>85</v>
      </c>
      <c r="C177" t="s">
        <v>18</v>
      </c>
      <c r="D177" t="s">
        <v>28</v>
      </c>
      <c r="E177" t="s">
        <v>29</v>
      </c>
      <c r="F177" t="s">
        <v>15</v>
      </c>
      <c r="G177" s="2">
        <v>3</v>
      </c>
      <c r="H177" s="3">
        <v>684</v>
      </c>
      <c r="I177" s="3">
        <v>413</v>
      </c>
      <c r="J177" s="3">
        <v>271</v>
      </c>
    </row>
    <row r="178" spans="1:10" x14ac:dyDescent="0.25">
      <c r="A178" t="s">
        <v>348</v>
      </c>
      <c r="B178" s="1" t="s">
        <v>203</v>
      </c>
      <c r="C178" t="s">
        <v>18</v>
      </c>
      <c r="D178" t="s">
        <v>19</v>
      </c>
      <c r="E178" t="s">
        <v>58</v>
      </c>
      <c r="F178" t="s">
        <v>15</v>
      </c>
      <c r="G178" s="2">
        <v>4</v>
      </c>
      <c r="H178" s="3">
        <v>2392</v>
      </c>
      <c r="I178" s="3">
        <v>1444</v>
      </c>
      <c r="J178" s="3">
        <v>948</v>
      </c>
    </row>
    <row r="179" spans="1:10" x14ac:dyDescent="0.25">
      <c r="A179" t="s">
        <v>349</v>
      </c>
      <c r="B179" s="1" t="s">
        <v>105</v>
      </c>
      <c r="C179" t="s">
        <v>18</v>
      </c>
      <c r="D179" t="s">
        <v>47</v>
      </c>
      <c r="E179" t="s">
        <v>58</v>
      </c>
      <c r="F179" t="s">
        <v>15</v>
      </c>
      <c r="G179" s="2">
        <v>5</v>
      </c>
      <c r="H179" s="3">
        <v>3075</v>
      </c>
      <c r="I179" s="3">
        <v>2428</v>
      </c>
      <c r="J179" s="3">
        <v>647</v>
      </c>
    </row>
    <row r="180" spans="1:10" x14ac:dyDescent="0.25">
      <c r="A180" t="s">
        <v>350</v>
      </c>
      <c r="B180" s="1" t="s">
        <v>351</v>
      </c>
      <c r="C180" t="s">
        <v>18</v>
      </c>
      <c r="D180" t="s">
        <v>37</v>
      </c>
      <c r="E180" t="s">
        <v>58</v>
      </c>
      <c r="F180" t="s">
        <v>15</v>
      </c>
      <c r="G180" s="2">
        <v>5</v>
      </c>
      <c r="H180" s="3">
        <v>3150</v>
      </c>
      <c r="I180" s="3">
        <v>1903</v>
      </c>
      <c r="J180" s="3">
        <v>1247</v>
      </c>
    </row>
    <row r="181" spans="1:10" x14ac:dyDescent="0.25">
      <c r="A181" t="s">
        <v>352</v>
      </c>
      <c r="B181" s="1" t="s">
        <v>23</v>
      </c>
      <c r="C181" t="s">
        <v>27</v>
      </c>
      <c r="D181" t="s">
        <v>47</v>
      </c>
      <c r="E181" t="s">
        <v>29</v>
      </c>
      <c r="F181" t="s">
        <v>15</v>
      </c>
      <c r="G181" s="2">
        <v>1</v>
      </c>
      <c r="H181" s="3">
        <v>146</v>
      </c>
      <c r="I181" s="3">
        <v>95</v>
      </c>
      <c r="J181" s="3">
        <v>51</v>
      </c>
    </row>
    <row r="182" spans="1:10" x14ac:dyDescent="0.25">
      <c r="A182" t="s">
        <v>353</v>
      </c>
      <c r="B182" s="1" t="s">
        <v>354</v>
      </c>
      <c r="C182" t="s">
        <v>27</v>
      </c>
      <c r="D182" t="s">
        <v>37</v>
      </c>
      <c r="E182" t="s">
        <v>14</v>
      </c>
      <c r="F182" t="s">
        <v>15</v>
      </c>
      <c r="G182" s="2">
        <v>5</v>
      </c>
      <c r="H182" s="3">
        <v>1050</v>
      </c>
      <c r="I182" s="3">
        <v>804</v>
      </c>
      <c r="J182" s="3">
        <v>246</v>
      </c>
    </row>
    <row r="183" spans="1:10" x14ac:dyDescent="0.25">
      <c r="A183" t="s">
        <v>355</v>
      </c>
      <c r="B183" s="1" t="s">
        <v>356</v>
      </c>
      <c r="C183" t="s">
        <v>24</v>
      </c>
      <c r="D183" t="s">
        <v>13</v>
      </c>
      <c r="E183" t="s">
        <v>38</v>
      </c>
      <c r="F183" t="s">
        <v>21</v>
      </c>
      <c r="G183" s="2">
        <v>5</v>
      </c>
      <c r="H183" s="3">
        <v>4705</v>
      </c>
      <c r="I183" s="3">
        <v>3038</v>
      </c>
      <c r="J183" s="3">
        <v>1667</v>
      </c>
    </row>
    <row r="184" spans="1:10" x14ac:dyDescent="0.25">
      <c r="A184" t="s">
        <v>357</v>
      </c>
      <c r="B184" s="1" t="s">
        <v>358</v>
      </c>
      <c r="C184" t="s">
        <v>12</v>
      </c>
      <c r="D184" t="s">
        <v>13</v>
      </c>
      <c r="E184" t="s">
        <v>29</v>
      </c>
      <c r="F184" t="s">
        <v>15</v>
      </c>
      <c r="G184" s="2">
        <v>1</v>
      </c>
      <c r="H184" s="3">
        <v>947</v>
      </c>
      <c r="I184" s="3">
        <v>640</v>
      </c>
      <c r="J184" s="3">
        <v>307</v>
      </c>
    </row>
    <row r="185" spans="1:10" x14ac:dyDescent="0.25">
      <c r="A185" t="s">
        <v>359</v>
      </c>
      <c r="B185" s="1" t="s">
        <v>360</v>
      </c>
      <c r="C185" t="s">
        <v>27</v>
      </c>
      <c r="D185" t="s">
        <v>13</v>
      </c>
      <c r="E185" t="s">
        <v>29</v>
      </c>
      <c r="F185" t="s">
        <v>15</v>
      </c>
      <c r="G185" s="2">
        <v>3</v>
      </c>
      <c r="H185" s="3">
        <v>738</v>
      </c>
      <c r="I185" s="3">
        <v>460</v>
      </c>
      <c r="J185" s="3">
        <v>278</v>
      </c>
    </row>
    <row r="186" spans="1:10" x14ac:dyDescent="0.25">
      <c r="A186" t="s">
        <v>361</v>
      </c>
      <c r="B186" s="1" t="s">
        <v>362</v>
      </c>
      <c r="C186" t="s">
        <v>27</v>
      </c>
      <c r="D186" t="s">
        <v>19</v>
      </c>
      <c r="E186" t="s">
        <v>58</v>
      </c>
      <c r="F186" t="s">
        <v>15</v>
      </c>
      <c r="G186" s="2">
        <v>2</v>
      </c>
      <c r="H186" s="3">
        <v>2266</v>
      </c>
      <c r="I186" s="3">
        <v>1417</v>
      </c>
      <c r="J186" s="3">
        <v>849</v>
      </c>
    </row>
    <row r="187" spans="1:10" x14ac:dyDescent="0.25">
      <c r="A187" t="s">
        <v>363</v>
      </c>
      <c r="B187" s="1" t="s">
        <v>109</v>
      </c>
      <c r="C187" t="s">
        <v>12</v>
      </c>
      <c r="D187" t="s">
        <v>19</v>
      </c>
      <c r="E187" t="s">
        <v>38</v>
      </c>
      <c r="F187" t="s">
        <v>21</v>
      </c>
      <c r="G187" s="2">
        <v>1</v>
      </c>
      <c r="H187" s="3">
        <v>917</v>
      </c>
      <c r="I187" s="3">
        <v>698</v>
      </c>
      <c r="J187" s="3">
        <v>219</v>
      </c>
    </row>
    <row r="188" spans="1:10" x14ac:dyDescent="0.25">
      <c r="A188" t="s">
        <v>364</v>
      </c>
      <c r="B188" s="1" t="s">
        <v>97</v>
      </c>
      <c r="C188" t="s">
        <v>24</v>
      </c>
      <c r="D188" t="s">
        <v>37</v>
      </c>
      <c r="E188" t="s">
        <v>20</v>
      </c>
      <c r="F188" t="s">
        <v>21</v>
      </c>
      <c r="G188" s="2">
        <v>4</v>
      </c>
      <c r="H188" s="3">
        <v>544</v>
      </c>
      <c r="I188" s="3">
        <v>368</v>
      </c>
      <c r="J188" s="3">
        <v>176</v>
      </c>
    </row>
    <row r="189" spans="1:10" x14ac:dyDescent="0.25">
      <c r="A189" t="s">
        <v>365</v>
      </c>
      <c r="B189" s="1" t="s">
        <v>366</v>
      </c>
      <c r="C189" t="s">
        <v>12</v>
      </c>
      <c r="D189" t="s">
        <v>47</v>
      </c>
      <c r="E189" t="s">
        <v>58</v>
      </c>
      <c r="F189" t="s">
        <v>15</v>
      </c>
      <c r="G189" s="2">
        <v>1</v>
      </c>
      <c r="H189" s="3">
        <v>586</v>
      </c>
      <c r="I189" s="3">
        <v>382</v>
      </c>
      <c r="J189" s="3">
        <v>204</v>
      </c>
    </row>
    <row r="190" spans="1:10" x14ac:dyDescent="0.25">
      <c r="A190" t="s">
        <v>367</v>
      </c>
      <c r="B190" s="1" t="s">
        <v>368</v>
      </c>
      <c r="C190" t="s">
        <v>24</v>
      </c>
      <c r="D190" t="s">
        <v>47</v>
      </c>
      <c r="E190" t="s">
        <v>38</v>
      </c>
      <c r="F190" t="s">
        <v>21</v>
      </c>
      <c r="G190" s="2">
        <v>3</v>
      </c>
      <c r="H190" s="3">
        <v>2178</v>
      </c>
      <c r="I190" s="3">
        <v>1522</v>
      </c>
      <c r="J190" s="3">
        <v>656</v>
      </c>
    </row>
    <row r="191" spans="1:10" x14ac:dyDescent="0.25">
      <c r="A191" t="s">
        <v>369</v>
      </c>
      <c r="B191" s="1" t="s">
        <v>105</v>
      </c>
      <c r="C191" t="s">
        <v>12</v>
      </c>
      <c r="D191" t="s">
        <v>28</v>
      </c>
      <c r="E191" t="s">
        <v>38</v>
      </c>
      <c r="F191" t="s">
        <v>21</v>
      </c>
      <c r="G191" s="2">
        <v>3</v>
      </c>
      <c r="H191" s="3">
        <v>1437</v>
      </c>
      <c r="I191" s="3">
        <v>926</v>
      </c>
      <c r="J191" s="3">
        <v>511</v>
      </c>
    </row>
    <row r="192" spans="1:10" x14ac:dyDescent="0.25">
      <c r="A192" t="s">
        <v>370</v>
      </c>
      <c r="B192" s="1" t="s">
        <v>371</v>
      </c>
      <c r="C192" t="s">
        <v>12</v>
      </c>
      <c r="D192" t="s">
        <v>32</v>
      </c>
      <c r="E192" t="s">
        <v>14</v>
      </c>
      <c r="F192" t="s">
        <v>15</v>
      </c>
      <c r="G192" s="2">
        <v>5</v>
      </c>
      <c r="H192" s="3">
        <v>5130</v>
      </c>
      <c r="I192" s="3">
        <v>3194</v>
      </c>
      <c r="J192" s="3">
        <v>1936</v>
      </c>
    </row>
    <row r="193" spans="1:10" x14ac:dyDescent="0.25">
      <c r="A193" t="s">
        <v>372</v>
      </c>
      <c r="B193" s="1" t="s">
        <v>240</v>
      </c>
      <c r="C193" t="s">
        <v>24</v>
      </c>
      <c r="D193" t="s">
        <v>28</v>
      </c>
      <c r="E193" t="s">
        <v>20</v>
      </c>
      <c r="F193" t="s">
        <v>21</v>
      </c>
      <c r="G193" s="2">
        <v>4</v>
      </c>
      <c r="H193" s="3">
        <v>2124</v>
      </c>
      <c r="I193" s="3">
        <v>1340</v>
      </c>
      <c r="J193" s="3">
        <v>784</v>
      </c>
    </row>
    <row r="194" spans="1:10" x14ac:dyDescent="0.25">
      <c r="A194" t="s">
        <v>373</v>
      </c>
      <c r="B194" s="1" t="s">
        <v>374</v>
      </c>
      <c r="C194" t="s">
        <v>24</v>
      </c>
      <c r="D194" t="s">
        <v>28</v>
      </c>
      <c r="E194" t="s">
        <v>20</v>
      </c>
      <c r="F194" t="s">
        <v>21</v>
      </c>
      <c r="G194" s="2">
        <v>3</v>
      </c>
      <c r="H194" s="3">
        <v>1305</v>
      </c>
      <c r="I194" s="3">
        <v>904</v>
      </c>
      <c r="J194" s="3">
        <v>401</v>
      </c>
    </row>
    <row r="195" spans="1:10" x14ac:dyDescent="0.25">
      <c r="A195" t="s">
        <v>375</v>
      </c>
      <c r="B195" s="1" t="s">
        <v>376</v>
      </c>
      <c r="C195" t="s">
        <v>24</v>
      </c>
      <c r="D195" t="s">
        <v>28</v>
      </c>
      <c r="E195" t="s">
        <v>14</v>
      </c>
      <c r="F195" t="s">
        <v>15</v>
      </c>
      <c r="G195" s="2">
        <v>2</v>
      </c>
      <c r="H195" s="3">
        <v>2250</v>
      </c>
      <c r="I195" s="3">
        <v>1692</v>
      </c>
      <c r="J195" s="3">
        <v>558</v>
      </c>
    </row>
    <row r="196" spans="1:10" x14ac:dyDescent="0.25">
      <c r="A196" t="s">
        <v>377</v>
      </c>
      <c r="B196" s="1" t="s">
        <v>142</v>
      </c>
      <c r="C196" t="s">
        <v>24</v>
      </c>
      <c r="D196" t="s">
        <v>19</v>
      </c>
      <c r="E196" t="s">
        <v>20</v>
      </c>
      <c r="F196" t="s">
        <v>21</v>
      </c>
      <c r="G196" s="2">
        <v>3</v>
      </c>
      <c r="H196" s="3">
        <v>1923</v>
      </c>
      <c r="I196" s="3">
        <v>1436</v>
      </c>
      <c r="J196" s="3">
        <v>487</v>
      </c>
    </row>
    <row r="197" spans="1:10" x14ac:dyDescent="0.25">
      <c r="A197" t="s">
        <v>378</v>
      </c>
      <c r="B197" s="1" t="s">
        <v>379</v>
      </c>
      <c r="C197" t="s">
        <v>24</v>
      </c>
      <c r="D197" t="s">
        <v>32</v>
      </c>
      <c r="E197" t="s">
        <v>38</v>
      </c>
      <c r="F197" t="s">
        <v>21</v>
      </c>
      <c r="G197" s="2">
        <v>5</v>
      </c>
      <c r="H197" s="3">
        <v>1835</v>
      </c>
      <c r="I197" s="3">
        <v>1448</v>
      </c>
      <c r="J197" s="3">
        <v>387</v>
      </c>
    </row>
    <row r="198" spans="1:10" x14ac:dyDescent="0.25">
      <c r="A198" t="s">
        <v>380</v>
      </c>
      <c r="B198" s="1" t="s">
        <v>73</v>
      </c>
      <c r="C198" t="s">
        <v>27</v>
      </c>
      <c r="D198" t="s">
        <v>28</v>
      </c>
      <c r="E198" t="s">
        <v>71</v>
      </c>
      <c r="F198" t="s">
        <v>21</v>
      </c>
      <c r="G198" s="2">
        <v>1</v>
      </c>
      <c r="H198" s="3">
        <v>107</v>
      </c>
      <c r="I198" s="3">
        <v>81</v>
      </c>
      <c r="J198" s="3">
        <v>26</v>
      </c>
    </row>
    <row r="199" spans="1:10" x14ac:dyDescent="0.25">
      <c r="A199" t="s">
        <v>381</v>
      </c>
      <c r="B199" s="1" t="s">
        <v>154</v>
      </c>
      <c r="C199" t="s">
        <v>12</v>
      </c>
      <c r="D199" t="s">
        <v>19</v>
      </c>
      <c r="E199" t="s">
        <v>29</v>
      </c>
      <c r="F199" t="s">
        <v>15</v>
      </c>
      <c r="G199" s="2">
        <v>3</v>
      </c>
      <c r="H199" s="3">
        <v>1086</v>
      </c>
      <c r="I199" s="3">
        <v>845</v>
      </c>
      <c r="J199" s="3">
        <v>241</v>
      </c>
    </row>
    <row r="200" spans="1:10" x14ac:dyDescent="0.25">
      <c r="A200" t="s">
        <v>382</v>
      </c>
      <c r="B200" s="1" t="s">
        <v>383</v>
      </c>
      <c r="C200" t="s">
        <v>18</v>
      </c>
      <c r="D200" t="s">
        <v>19</v>
      </c>
      <c r="E200" t="s">
        <v>20</v>
      </c>
      <c r="F200" t="s">
        <v>21</v>
      </c>
      <c r="G200" s="2">
        <v>1</v>
      </c>
      <c r="H200" s="3">
        <v>377</v>
      </c>
      <c r="I200" s="3">
        <v>241</v>
      </c>
      <c r="J200" s="3">
        <v>136</v>
      </c>
    </row>
    <row r="201" spans="1:10" x14ac:dyDescent="0.25">
      <c r="A201" t="s">
        <v>384</v>
      </c>
      <c r="B201" s="1" t="s">
        <v>117</v>
      </c>
      <c r="C201" t="s">
        <v>27</v>
      </c>
      <c r="D201" t="s">
        <v>32</v>
      </c>
      <c r="E201" t="s">
        <v>20</v>
      </c>
      <c r="F201" t="s">
        <v>21</v>
      </c>
      <c r="G201" s="2">
        <v>4</v>
      </c>
      <c r="H201" s="3">
        <v>1984</v>
      </c>
      <c r="I201" s="3">
        <v>1549</v>
      </c>
      <c r="J201" s="3">
        <v>435</v>
      </c>
    </row>
    <row r="202" spans="1:10" x14ac:dyDescent="0.25">
      <c r="A202" t="s">
        <v>385</v>
      </c>
      <c r="B202" s="1" t="s">
        <v>386</v>
      </c>
      <c r="C202" t="s">
        <v>27</v>
      </c>
      <c r="D202" t="s">
        <v>37</v>
      </c>
      <c r="E202" t="s">
        <v>20</v>
      </c>
      <c r="F202" t="s">
        <v>21</v>
      </c>
      <c r="G202" s="2">
        <v>1</v>
      </c>
      <c r="H202" s="3">
        <v>324</v>
      </c>
      <c r="I202" s="3">
        <v>216</v>
      </c>
      <c r="J202" s="3">
        <v>108</v>
      </c>
    </row>
    <row r="203" spans="1:10" x14ac:dyDescent="0.25">
      <c r="A203" t="s">
        <v>387</v>
      </c>
      <c r="B203" s="1" t="s">
        <v>388</v>
      </c>
      <c r="C203" t="s">
        <v>18</v>
      </c>
      <c r="D203" t="s">
        <v>37</v>
      </c>
      <c r="E203" t="s">
        <v>29</v>
      </c>
      <c r="F203" t="s">
        <v>15</v>
      </c>
      <c r="G203" s="2">
        <v>2</v>
      </c>
      <c r="H203" s="3">
        <v>1636</v>
      </c>
      <c r="I203" s="3">
        <v>1020</v>
      </c>
      <c r="J203" s="3">
        <v>616</v>
      </c>
    </row>
    <row r="204" spans="1:10" x14ac:dyDescent="0.25">
      <c r="A204" t="s">
        <v>389</v>
      </c>
      <c r="B204" s="1" t="s">
        <v>113</v>
      </c>
      <c r="C204" t="s">
        <v>27</v>
      </c>
      <c r="D204" t="s">
        <v>19</v>
      </c>
      <c r="E204" t="s">
        <v>58</v>
      </c>
      <c r="F204" t="s">
        <v>15</v>
      </c>
      <c r="G204" s="2">
        <v>1</v>
      </c>
      <c r="H204" s="3">
        <v>403</v>
      </c>
      <c r="I204" s="3">
        <v>290</v>
      </c>
      <c r="J204" s="3">
        <v>113</v>
      </c>
    </row>
    <row r="205" spans="1:10" x14ac:dyDescent="0.25">
      <c r="A205" t="s">
        <v>390</v>
      </c>
      <c r="B205" s="1" t="s">
        <v>391</v>
      </c>
      <c r="C205" t="s">
        <v>27</v>
      </c>
      <c r="D205" t="s">
        <v>47</v>
      </c>
      <c r="E205" t="s">
        <v>58</v>
      </c>
      <c r="F205" t="s">
        <v>15</v>
      </c>
      <c r="G205" s="2">
        <v>5</v>
      </c>
      <c r="H205" s="3">
        <v>1410</v>
      </c>
      <c r="I205" s="3">
        <v>942</v>
      </c>
      <c r="J205" s="3">
        <v>468</v>
      </c>
    </row>
    <row r="206" spans="1:10" x14ac:dyDescent="0.25">
      <c r="A206" t="s">
        <v>392</v>
      </c>
      <c r="B206" s="1" t="s">
        <v>393</v>
      </c>
      <c r="C206" t="s">
        <v>18</v>
      </c>
      <c r="D206" t="s">
        <v>19</v>
      </c>
      <c r="E206" t="s">
        <v>71</v>
      </c>
      <c r="F206" t="s">
        <v>21</v>
      </c>
      <c r="G206" s="2">
        <v>3</v>
      </c>
      <c r="H206" s="3">
        <v>1026</v>
      </c>
      <c r="I206" s="3">
        <v>642</v>
      </c>
      <c r="J206" s="3">
        <v>384</v>
      </c>
    </row>
    <row r="207" spans="1:10" x14ac:dyDescent="0.25">
      <c r="A207" t="s">
        <v>394</v>
      </c>
      <c r="B207" s="1" t="s">
        <v>252</v>
      </c>
      <c r="C207" t="s">
        <v>24</v>
      </c>
      <c r="D207" t="s">
        <v>32</v>
      </c>
      <c r="E207" t="s">
        <v>20</v>
      </c>
      <c r="F207" t="s">
        <v>21</v>
      </c>
      <c r="G207" s="2">
        <v>2</v>
      </c>
      <c r="H207" s="3">
        <v>1614</v>
      </c>
      <c r="I207" s="3">
        <v>1262</v>
      </c>
      <c r="J207" s="3">
        <v>352</v>
      </c>
    </row>
    <row r="208" spans="1:10" x14ac:dyDescent="0.25">
      <c r="A208" t="s">
        <v>395</v>
      </c>
      <c r="B208" s="1" t="s">
        <v>396</v>
      </c>
      <c r="C208" t="s">
        <v>24</v>
      </c>
      <c r="D208" t="s">
        <v>32</v>
      </c>
      <c r="E208" t="s">
        <v>71</v>
      </c>
      <c r="F208" t="s">
        <v>21</v>
      </c>
      <c r="G208" s="2">
        <v>1</v>
      </c>
      <c r="H208" s="3">
        <v>1182</v>
      </c>
      <c r="I208" s="3">
        <v>772</v>
      </c>
      <c r="J208" s="3">
        <v>410</v>
      </c>
    </row>
    <row r="209" spans="1:10" x14ac:dyDescent="0.25">
      <c r="A209" t="s">
        <v>397</v>
      </c>
      <c r="B209" s="1" t="s">
        <v>398</v>
      </c>
      <c r="C209" t="s">
        <v>18</v>
      </c>
      <c r="D209" t="s">
        <v>13</v>
      </c>
      <c r="E209" t="s">
        <v>29</v>
      </c>
      <c r="F209" t="s">
        <v>15</v>
      </c>
      <c r="G209" s="2">
        <v>4</v>
      </c>
      <c r="H209" s="3">
        <v>2460</v>
      </c>
      <c r="I209" s="3">
        <v>1833</v>
      </c>
      <c r="J209" s="3">
        <v>627</v>
      </c>
    </row>
    <row r="210" spans="1:10" x14ac:dyDescent="0.25">
      <c r="A210" t="s">
        <v>399</v>
      </c>
      <c r="B210" s="1" t="s">
        <v>400</v>
      </c>
      <c r="C210" t="s">
        <v>12</v>
      </c>
      <c r="D210" t="s">
        <v>47</v>
      </c>
      <c r="E210" t="s">
        <v>20</v>
      </c>
      <c r="F210" t="s">
        <v>21</v>
      </c>
      <c r="G210" s="2">
        <v>4</v>
      </c>
      <c r="H210" s="3">
        <v>2952</v>
      </c>
      <c r="I210" s="3">
        <v>2065</v>
      </c>
      <c r="J210" s="3">
        <v>887</v>
      </c>
    </row>
    <row r="211" spans="1:10" x14ac:dyDescent="0.25">
      <c r="A211" t="s">
        <v>401</v>
      </c>
      <c r="B211" s="1" t="s">
        <v>402</v>
      </c>
      <c r="C211" t="s">
        <v>24</v>
      </c>
      <c r="D211" t="s">
        <v>32</v>
      </c>
      <c r="E211" t="s">
        <v>29</v>
      </c>
      <c r="F211" t="s">
        <v>15</v>
      </c>
      <c r="G211" s="2">
        <v>5</v>
      </c>
      <c r="H211" s="3">
        <v>1125</v>
      </c>
      <c r="I211" s="3">
        <v>854</v>
      </c>
      <c r="J211" s="3">
        <v>271</v>
      </c>
    </row>
    <row r="212" spans="1:10" x14ac:dyDescent="0.25">
      <c r="A212" t="s">
        <v>403</v>
      </c>
      <c r="B212" s="1" t="s">
        <v>404</v>
      </c>
      <c r="C212" t="s">
        <v>12</v>
      </c>
      <c r="D212" t="s">
        <v>47</v>
      </c>
      <c r="E212" t="s">
        <v>20</v>
      </c>
      <c r="F212" t="s">
        <v>21</v>
      </c>
      <c r="G212" s="2">
        <v>5</v>
      </c>
      <c r="H212" s="3">
        <v>3020</v>
      </c>
      <c r="I212" s="3">
        <v>2007</v>
      </c>
      <c r="J212" s="3">
        <v>1013</v>
      </c>
    </row>
    <row r="213" spans="1:10" x14ac:dyDescent="0.25">
      <c r="A213" t="s">
        <v>405</v>
      </c>
      <c r="B213" s="1" t="s">
        <v>91</v>
      </c>
      <c r="C213" t="s">
        <v>24</v>
      </c>
      <c r="D213" t="s">
        <v>13</v>
      </c>
      <c r="E213" t="s">
        <v>71</v>
      </c>
      <c r="F213" t="s">
        <v>21</v>
      </c>
      <c r="G213" s="2">
        <v>3</v>
      </c>
      <c r="H213" s="3">
        <v>2127</v>
      </c>
      <c r="I213" s="3">
        <v>1668</v>
      </c>
      <c r="J213" s="3">
        <v>459</v>
      </c>
    </row>
    <row r="214" spans="1:10" x14ac:dyDescent="0.25">
      <c r="A214" t="s">
        <v>406</v>
      </c>
      <c r="B214" s="1" t="s">
        <v>338</v>
      </c>
      <c r="C214" t="s">
        <v>18</v>
      </c>
      <c r="D214" t="s">
        <v>32</v>
      </c>
      <c r="E214" t="s">
        <v>20</v>
      </c>
      <c r="F214" t="s">
        <v>21</v>
      </c>
      <c r="G214" s="2">
        <v>1</v>
      </c>
      <c r="H214" s="3">
        <v>800</v>
      </c>
      <c r="I214" s="3">
        <v>542</v>
      </c>
      <c r="J214" s="3">
        <v>258</v>
      </c>
    </row>
    <row r="215" spans="1:10" x14ac:dyDescent="0.25">
      <c r="A215" t="s">
        <v>407</v>
      </c>
      <c r="B215" s="1" t="s">
        <v>408</v>
      </c>
      <c r="C215" t="s">
        <v>24</v>
      </c>
      <c r="D215" t="s">
        <v>13</v>
      </c>
      <c r="E215" t="s">
        <v>29</v>
      </c>
      <c r="F215" t="s">
        <v>15</v>
      </c>
      <c r="G215" s="2">
        <v>3</v>
      </c>
      <c r="H215" s="3">
        <v>2697</v>
      </c>
      <c r="I215" s="3">
        <v>1642</v>
      </c>
      <c r="J215" s="3">
        <v>1055</v>
      </c>
    </row>
    <row r="216" spans="1:10" x14ac:dyDescent="0.25">
      <c r="A216" t="s">
        <v>409</v>
      </c>
      <c r="B216" s="1" t="s">
        <v>296</v>
      </c>
      <c r="C216" t="s">
        <v>18</v>
      </c>
      <c r="D216" t="s">
        <v>19</v>
      </c>
      <c r="E216" t="s">
        <v>14</v>
      </c>
      <c r="F216" t="s">
        <v>15</v>
      </c>
      <c r="G216" s="2">
        <v>5</v>
      </c>
      <c r="H216" s="3">
        <v>3805</v>
      </c>
      <c r="I216" s="3">
        <v>2937</v>
      </c>
      <c r="J216" s="3">
        <v>868</v>
      </c>
    </row>
    <row r="217" spans="1:10" x14ac:dyDescent="0.25">
      <c r="A217" t="s">
        <v>410</v>
      </c>
      <c r="B217" s="1" t="s">
        <v>411</v>
      </c>
      <c r="C217" t="s">
        <v>18</v>
      </c>
      <c r="D217" t="s">
        <v>19</v>
      </c>
      <c r="E217" t="s">
        <v>38</v>
      </c>
      <c r="F217" t="s">
        <v>21</v>
      </c>
      <c r="G217" s="2">
        <v>1</v>
      </c>
      <c r="H217" s="3">
        <v>446</v>
      </c>
      <c r="I217" s="3">
        <v>311</v>
      </c>
      <c r="J217" s="3">
        <v>135</v>
      </c>
    </row>
    <row r="218" spans="1:10" x14ac:dyDescent="0.25">
      <c r="A218" t="s">
        <v>412</v>
      </c>
      <c r="B218" s="1" t="s">
        <v>413</v>
      </c>
      <c r="C218" t="s">
        <v>27</v>
      </c>
      <c r="D218" t="s">
        <v>32</v>
      </c>
      <c r="E218" t="s">
        <v>20</v>
      </c>
      <c r="F218" t="s">
        <v>21</v>
      </c>
      <c r="G218" s="2">
        <v>3</v>
      </c>
      <c r="H218" s="3">
        <v>2523</v>
      </c>
      <c r="I218" s="3">
        <v>1929</v>
      </c>
      <c r="J218" s="3">
        <v>594</v>
      </c>
    </row>
    <row r="219" spans="1:10" x14ac:dyDescent="0.25">
      <c r="A219" t="s">
        <v>414</v>
      </c>
      <c r="B219" s="1" t="s">
        <v>415</v>
      </c>
      <c r="C219" t="s">
        <v>18</v>
      </c>
      <c r="D219" t="s">
        <v>19</v>
      </c>
      <c r="E219" t="s">
        <v>58</v>
      </c>
      <c r="F219" t="s">
        <v>15</v>
      </c>
      <c r="G219" s="2">
        <v>2</v>
      </c>
      <c r="H219" s="3">
        <v>456</v>
      </c>
      <c r="I219" s="3">
        <v>326</v>
      </c>
      <c r="J219" s="3">
        <v>130</v>
      </c>
    </row>
    <row r="220" spans="1:10" x14ac:dyDescent="0.25">
      <c r="A220" t="s">
        <v>416</v>
      </c>
      <c r="B220" s="1" t="s">
        <v>417</v>
      </c>
      <c r="C220" t="s">
        <v>24</v>
      </c>
      <c r="D220" t="s">
        <v>13</v>
      </c>
      <c r="E220" t="s">
        <v>29</v>
      </c>
      <c r="F220" t="s">
        <v>15</v>
      </c>
      <c r="G220" s="2">
        <v>5</v>
      </c>
      <c r="H220" s="3">
        <v>2025</v>
      </c>
      <c r="I220" s="3">
        <v>1482</v>
      </c>
      <c r="J220" s="3">
        <v>543</v>
      </c>
    </row>
    <row r="221" spans="1:10" x14ac:dyDescent="0.25">
      <c r="A221" t="s">
        <v>418</v>
      </c>
      <c r="B221" s="1" t="s">
        <v>419</v>
      </c>
      <c r="C221" t="s">
        <v>24</v>
      </c>
      <c r="D221" t="s">
        <v>47</v>
      </c>
      <c r="E221" t="s">
        <v>29</v>
      </c>
      <c r="F221" t="s">
        <v>15</v>
      </c>
      <c r="G221" s="2">
        <v>5</v>
      </c>
      <c r="H221" s="3">
        <v>5085</v>
      </c>
      <c r="I221" s="3">
        <v>3923</v>
      </c>
      <c r="J221" s="3">
        <v>1162</v>
      </c>
    </row>
    <row r="222" spans="1:10" x14ac:dyDescent="0.25">
      <c r="A222" t="s">
        <v>420</v>
      </c>
      <c r="B222" s="1" t="s">
        <v>178</v>
      </c>
      <c r="C222" t="s">
        <v>18</v>
      </c>
      <c r="D222" t="s">
        <v>37</v>
      </c>
      <c r="E222" t="s">
        <v>29</v>
      </c>
      <c r="F222" t="s">
        <v>15</v>
      </c>
      <c r="G222" s="2">
        <v>3</v>
      </c>
      <c r="H222" s="3">
        <v>2835</v>
      </c>
      <c r="I222" s="3">
        <v>2150</v>
      </c>
      <c r="J222" s="3">
        <v>685</v>
      </c>
    </row>
    <row r="223" spans="1:10" x14ac:dyDescent="0.25">
      <c r="A223" t="s">
        <v>421</v>
      </c>
      <c r="B223" s="1" t="s">
        <v>325</v>
      </c>
      <c r="C223" t="s">
        <v>27</v>
      </c>
      <c r="D223" t="s">
        <v>37</v>
      </c>
      <c r="E223" t="s">
        <v>20</v>
      </c>
      <c r="F223" t="s">
        <v>21</v>
      </c>
      <c r="G223" s="2">
        <v>3</v>
      </c>
      <c r="H223" s="3">
        <v>2382</v>
      </c>
      <c r="I223" s="3">
        <v>1664</v>
      </c>
      <c r="J223" s="3">
        <v>718</v>
      </c>
    </row>
    <row r="224" spans="1:10" x14ac:dyDescent="0.25">
      <c r="A224" t="s">
        <v>422</v>
      </c>
      <c r="B224" s="1" t="s">
        <v>93</v>
      </c>
      <c r="C224" t="s">
        <v>27</v>
      </c>
      <c r="D224" t="s">
        <v>19</v>
      </c>
      <c r="E224" t="s">
        <v>29</v>
      </c>
      <c r="F224" t="s">
        <v>15</v>
      </c>
      <c r="G224" s="2">
        <v>2</v>
      </c>
      <c r="H224" s="3">
        <v>2032</v>
      </c>
      <c r="I224" s="3">
        <v>1604</v>
      </c>
      <c r="J224" s="3">
        <v>428</v>
      </c>
    </row>
    <row r="225" spans="1:10" x14ac:dyDescent="0.25">
      <c r="A225" t="s">
        <v>423</v>
      </c>
      <c r="B225" s="1" t="s">
        <v>257</v>
      </c>
      <c r="C225" t="s">
        <v>18</v>
      </c>
      <c r="D225" t="s">
        <v>37</v>
      </c>
      <c r="E225" t="s">
        <v>71</v>
      </c>
      <c r="F225" t="s">
        <v>21</v>
      </c>
      <c r="G225" s="2">
        <v>3</v>
      </c>
      <c r="H225" s="3">
        <v>1362</v>
      </c>
      <c r="I225" s="3">
        <v>1078</v>
      </c>
      <c r="J225" s="3">
        <v>284</v>
      </c>
    </row>
    <row r="226" spans="1:10" x14ac:dyDescent="0.25">
      <c r="A226" t="s">
        <v>424</v>
      </c>
      <c r="B226" s="1" t="s">
        <v>425</v>
      </c>
      <c r="C226" t="s">
        <v>24</v>
      </c>
      <c r="D226" t="s">
        <v>28</v>
      </c>
      <c r="E226" t="s">
        <v>71</v>
      </c>
      <c r="F226" t="s">
        <v>21</v>
      </c>
      <c r="G226" s="2">
        <v>2</v>
      </c>
      <c r="H226" s="3">
        <v>2174</v>
      </c>
      <c r="I226" s="3">
        <v>1603</v>
      </c>
      <c r="J226" s="3">
        <v>571</v>
      </c>
    </row>
    <row r="227" spans="1:10" x14ac:dyDescent="0.25">
      <c r="A227" t="s">
        <v>426</v>
      </c>
      <c r="B227" s="1" t="s">
        <v>419</v>
      </c>
      <c r="C227" t="s">
        <v>12</v>
      </c>
      <c r="D227" t="s">
        <v>37</v>
      </c>
      <c r="E227" t="s">
        <v>20</v>
      </c>
      <c r="F227" t="s">
        <v>21</v>
      </c>
      <c r="G227" s="2">
        <v>2</v>
      </c>
      <c r="H227" s="3">
        <v>1490</v>
      </c>
      <c r="I227" s="3">
        <v>1165</v>
      </c>
      <c r="J227" s="3">
        <v>325</v>
      </c>
    </row>
    <row r="228" spans="1:10" x14ac:dyDescent="0.25">
      <c r="A228" t="s">
        <v>427</v>
      </c>
      <c r="B228" s="1" t="s">
        <v>250</v>
      </c>
      <c r="C228" t="s">
        <v>24</v>
      </c>
      <c r="D228" t="s">
        <v>47</v>
      </c>
      <c r="E228" t="s">
        <v>20</v>
      </c>
      <c r="F228" t="s">
        <v>21</v>
      </c>
      <c r="G228" s="2">
        <v>1</v>
      </c>
      <c r="H228" s="3">
        <v>808</v>
      </c>
      <c r="I228" s="3">
        <v>546</v>
      </c>
      <c r="J228" s="3">
        <v>262</v>
      </c>
    </row>
    <row r="229" spans="1:10" x14ac:dyDescent="0.25">
      <c r="A229" t="s">
        <v>428</v>
      </c>
      <c r="B229" s="1" t="s">
        <v>429</v>
      </c>
      <c r="C229" t="s">
        <v>27</v>
      </c>
      <c r="D229" t="s">
        <v>47</v>
      </c>
      <c r="E229" t="s">
        <v>14</v>
      </c>
      <c r="F229" t="s">
        <v>15</v>
      </c>
      <c r="G229" s="2">
        <v>5</v>
      </c>
      <c r="H229" s="3">
        <v>985</v>
      </c>
      <c r="I229" s="3">
        <v>614</v>
      </c>
      <c r="J229" s="3">
        <v>371</v>
      </c>
    </row>
    <row r="230" spans="1:10" x14ac:dyDescent="0.25">
      <c r="A230" t="s">
        <v>430</v>
      </c>
      <c r="B230" s="1" t="s">
        <v>261</v>
      </c>
      <c r="C230" t="s">
        <v>27</v>
      </c>
      <c r="D230" t="s">
        <v>19</v>
      </c>
      <c r="E230" t="s">
        <v>14</v>
      </c>
      <c r="F230" t="s">
        <v>15</v>
      </c>
      <c r="G230" s="2">
        <v>2</v>
      </c>
      <c r="H230" s="3">
        <v>1536</v>
      </c>
      <c r="I230" s="3">
        <v>1212</v>
      </c>
      <c r="J230" s="3">
        <v>324</v>
      </c>
    </row>
    <row r="231" spans="1:10" x14ac:dyDescent="0.25">
      <c r="A231" t="s">
        <v>431</v>
      </c>
      <c r="B231" s="1" t="s">
        <v>23</v>
      </c>
      <c r="C231" t="s">
        <v>18</v>
      </c>
      <c r="D231" t="s">
        <v>32</v>
      </c>
      <c r="E231" t="s">
        <v>14</v>
      </c>
      <c r="F231" t="s">
        <v>15</v>
      </c>
      <c r="G231" s="2">
        <v>5</v>
      </c>
      <c r="H231" s="3">
        <v>1640</v>
      </c>
      <c r="I231" s="3">
        <v>1067</v>
      </c>
      <c r="J231" s="3">
        <v>573</v>
      </c>
    </row>
    <row r="232" spans="1:10" x14ac:dyDescent="0.25">
      <c r="A232" t="s">
        <v>432</v>
      </c>
      <c r="B232" s="1" t="s">
        <v>429</v>
      </c>
      <c r="C232" t="s">
        <v>27</v>
      </c>
      <c r="D232" t="s">
        <v>28</v>
      </c>
      <c r="E232" t="s">
        <v>20</v>
      </c>
      <c r="F232" t="s">
        <v>21</v>
      </c>
      <c r="G232" s="2">
        <v>3</v>
      </c>
      <c r="H232" s="3">
        <v>783</v>
      </c>
      <c r="I232" s="3">
        <v>622</v>
      </c>
      <c r="J232" s="3">
        <v>161</v>
      </c>
    </row>
    <row r="233" spans="1:10" x14ac:dyDescent="0.25">
      <c r="A233" t="s">
        <v>433</v>
      </c>
      <c r="B233" s="1" t="s">
        <v>292</v>
      </c>
      <c r="C233" t="s">
        <v>24</v>
      </c>
      <c r="D233" t="s">
        <v>32</v>
      </c>
      <c r="E233" t="s">
        <v>71</v>
      </c>
      <c r="F233" t="s">
        <v>21</v>
      </c>
      <c r="G233" s="2">
        <v>2</v>
      </c>
      <c r="H233" s="3">
        <v>1534</v>
      </c>
      <c r="I233" s="3">
        <v>991</v>
      </c>
      <c r="J233" s="3">
        <v>543</v>
      </c>
    </row>
    <row r="234" spans="1:10" x14ac:dyDescent="0.25">
      <c r="A234" t="s">
        <v>434</v>
      </c>
      <c r="B234" s="1" t="s">
        <v>190</v>
      </c>
      <c r="C234" t="s">
        <v>12</v>
      </c>
      <c r="D234" t="s">
        <v>32</v>
      </c>
      <c r="E234" t="s">
        <v>71</v>
      </c>
      <c r="F234" t="s">
        <v>21</v>
      </c>
      <c r="G234" s="2">
        <v>1</v>
      </c>
      <c r="H234" s="3">
        <v>845</v>
      </c>
      <c r="I234" s="3">
        <v>572</v>
      </c>
      <c r="J234" s="3">
        <v>273</v>
      </c>
    </row>
    <row r="235" spans="1:10" x14ac:dyDescent="0.25">
      <c r="A235" t="s">
        <v>435</v>
      </c>
      <c r="B235" s="1" t="s">
        <v>211</v>
      </c>
      <c r="C235" t="s">
        <v>24</v>
      </c>
      <c r="D235" t="s">
        <v>47</v>
      </c>
      <c r="E235" t="s">
        <v>38</v>
      </c>
      <c r="F235" t="s">
        <v>21</v>
      </c>
      <c r="G235" s="2">
        <v>3</v>
      </c>
      <c r="H235" s="3">
        <v>3369</v>
      </c>
      <c r="I235" s="3">
        <v>2271</v>
      </c>
      <c r="J235" s="3">
        <v>1098</v>
      </c>
    </row>
    <row r="236" spans="1:10" x14ac:dyDescent="0.25">
      <c r="A236" t="s">
        <v>436</v>
      </c>
      <c r="B236" s="1" t="s">
        <v>248</v>
      </c>
      <c r="C236" t="s">
        <v>18</v>
      </c>
      <c r="D236" t="s">
        <v>28</v>
      </c>
      <c r="E236" t="s">
        <v>20</v>
      </c>
      <c r="F236" t="s">
        <v>21</v>
      </c>
      <c r="G236" s="2">
        <v>4</v>
      </c>
      <c r="H236" s="3">
        <v>3256</v>
      </c>
      <c r="I236" s="3">
        <v>2142</v>
      </c>
      <c r="J236" s="3">
        <v>1114</v>
      </c>
    </row>
    <row r="237" spans="1:10" x14ac:dyDescent="0.25">
      <c r="A237" t="s">
        <v>437</v>
      </c>
      <c r="B237" s="1" t="s">
        <v>23</v>
      </c>
      <c r="C237" t="s">
        <v>24</v>
      </c>
      <c r="D237" t="s">
        <v>13</v>
      </c>
      <c r="E237" t="s">
        <v>20</v>
      </c>
      <c r="F237" t="s">
        <v>21</v>
      </c>
      <c r="G237" s="2">
        <v>5</v>
      </c>
      <c r="H237" s="3">
        <v>2700</v>
      </c>
      <c r="I237" s="3">
        <v>1964</v>
      </c>
      <c r="J237" s="3">
        <v>736</v>
      </c>
    </row>
    <row r="238" spans="1:10" x14ac:dyDescent="0.25">
      <c r="A238" t="s">
        <v>438</v>
      </c>
      <c r="B238" s="1" t="s">
        <v>439</v>
      </c>
      <c r="C238" t="s">
        <v>18</v>
      </c>
      <c r="D238" t="s">
        <v>32</v>
      </c>
      <c r="E238" t="s">
        <v>29</v>
      </c>
      <c r="F238" t="s">
        <v>15</v>
      </c>
      <c r="G238" s="2">
        <v>4</v>
      </c>
      <c r="H238" s="3">
        <v>3068</v>
      </c>
      <c r="I238" s="3">
        <v>2325</v>
      </c>
      <c r="J238" s="3">
        <v>743</v>
      </c>
    </row>
    <row r="239" spans="1:10" x14ac:dyDescent="0.25">
      <c r="A239" t="s">
        <v>440</v>
      </c>
      <c r="B239" s="1" t="s">
        <v>134</v>
      </c>
      <c r="C239" t="s">
        <v>18</v>
      </c>
      <c r="D239" t="s">
        <v>28</v>
      </c>
      <c r="E239" t="s">
        <v>38</v>
      </c>
      <c r="F239" t="s">
        <v>21</v>
      </c>
      <c r="G239" s="2">
        <v>1</v>
      </c>
      <c r="H239" s="3">
        <v>271</v>
      </c>
      <c r="I239" s="3">
        <v>196</v>
      </c>
      <c r="J239" s="3">
        <v>75</v>
      </c>
    </row>
    <row r="240" spans="1:10" x14ac:dyDescent="0.25">
      <c r="A240" t="s">
        <v>441</v>
      </c>
      <c r="B240" s="1" t="s">
        <v>79</v>
      </c>
      <c r="C240" t="s">
        <v>24</v>
      </c>
      <c r="D240" t="s">
        <v>13</v>
      </c>
      <c r="E240" t="s">
        <v>29</v>
      </c>
      <c r="F240" t="s">
        <v>15</v>
      </c>
      <c r="G240" s="2">
        <v>3</v>
      </c>
      <c r="H240" s="3">
        <v>2391</v>
      </c>
      <c r="I240" s="3">
        <v>1836</v>
      </c>
      <c r="J240" s="3">
        <v>555</v>
      </c>
    </row>
    <row r="241" spans="1:10" x14ac:dyDescent="0.25">
      <c r="A241" t="s">
        <v>442</v>
      </c>
      <c r="B241" s="1" t="s">
        <v>101</v>
      </c>
      <c r="C241" t="s">
        <v>27</v>
      </c>
      <c r="D241" t="s">
        <v>13</v>
      </c>
      <c r="E241" t="s">
        <v>14</v>
      </c>
      <c r="F241" t="s">
        <v>15</v>
      </c>
      <c r="G241" s="2">
        <v>2</v>
      </c>
      <c r="H241" s="3">
        <v>566</v>
      </c>
      <c r="I241" s="3">
        <v>438</v>
      </c>
      <c r="J241" s="3">
        <v>128</v>
      </c>
    </row>
    <row r="242" spans="1:10" x14ac:dyDescent="0.25">
      <c r="A242" t="s">
        <v>443</v>
      </c>
      <c r="B242" s="1" t="s">
        <v>77</v>
      </c>
      <c r="C242" t="s">
        <v>27</v>
      </c>
      <c r="D242" t="s">
        <v>37</v>
      </c>
      <c r="E242" t="s">
        <v>71</v>
      </c>
      <c r="F242" t="s">
        <v>21</v>
      </c>
      <c r="G242" s="2">
        <v>5</v>
      </c>
      <c r="H242" s="3">
        <v>4410</v>
      </c>
      <c r="I242" s="3">
        <v>3253</v>
      </c>
      <c r="J242" s="3">
        <v>1157</v>
      </c>
    </row>
    <row r="243" spans="1:10" x14ac:dyDescent="0.25">
      <c r="A243" t="s">
        <v>444</v>
      </c>
      <c r="B243" s="1" t="s">
        <v>163</v>
      </c>
      <c r="C243" t="s">
        <v>18</v>
      </c>
      <c r="D243" t="s">
        <v>32</v>
      </c>
      <c r="E243" t="s">
        <v>71</v>
      </c>
      <c r="F243" t="s">
        <v>21</v>
      </c>
      <c r="G243" s="2">
        <v>5</v>
      </c>
      <c r="H243" s="3">
        <v>1285</v>
      </c>
      <c r="I243" s="3">
        <v>874</v>
      </c>
      <c r="J243" s="3">
        <v>411</v>
      </c>
    </row>
    <row r="244" spans="1:10" x14ac:dyDescent="0.25">
      <c r="A244" t="s">
        <v>445</v>
      </c>
      <c r="B244" s="1" t="s">
        <v>446</v>
      </c>
      <c r="C244" t="s">
        <v>12</v>
      </c>
      <c r="D244" t="s">
        <v>19</v>
      </c>
      <c r="E244" t="s">
        <v>71</v>
      </c>
      <c r="F244" t="s">
        <v>21</v>
      </c>
      <c r="G244" s="2">
        <v>4</v>
      </c>
      <c r="H244" s="3">
        <v>2920</v>
      </c>
      <c r="I244" s="3">
        <v>2123</v>
      </c>
      <c r="J244" s="3">
        <v>797</v>
      </c>
    </row>
    <row r="245" spans="1:10" x14ac:dyDescent="0.25">
      <c r="A245" t="s">
        <v>447</v>
      </c>
      <c r="B245" s="1" t="s">
        <v>250</v>
      </c>
      <c r="C245" t="s">
        <v>24</v>
      </c>
      <c r="D245" t="s">
        <v>32</v>
      </c>
      <c r="E245" t="s">
        <v>20</v>
      </c>
      <c r="F245" t="s">
        <v>21</v>
      </c>
      <c r="G245" s="2">
        <v>1</v>
      </c>
      <c r="H245" s="3">
        <v>609</v>
      </c>
      <c r="I245" s="3">
        <v>438</v>
      </c>
      <c r="J245" s="3">
        <v>171</v>
      </c>
    </row>
    <row r="246" spans="1:10" x14ac:dyDescent="0.25">
      <c r="A246" t="s">
        <v>448</v>
      </c>
      <c r="B246" s="1" t="s">
        <v>83</v>
      </c>
      <c r="C246" t="s">
        <v>12</v>
      </c>
      <c r="D246" t="s">
        <v>37</v>
      </c>
      <c r="E246" t="s">
        <v>14</v>
      </c>
      <c r="F246" t="s">
        <v>15</v>
      </c>
      <c r="G246" s="2">
        <v>3</v>
      </c>
      <c r="H246" s="3">
        <v>1278</v>
      </c>
      <c r="I246" s="3">
        <v>997</v>
      </c>
      <c r="J246" s="3">
        <v>281</v>
      </c>
    </row>
    <row r="247" spans="1:10" x14ac:dyDescent="0.25">
      <c r="A247" t="s">
        <v>449</v>
      </c>
      <c r="B247" s="1" t="s">
        <v>439</v>
      </c>
      <c r="C247" t="s">
        <v>18</v>
      </c>
      <c r="D247" t="s">
        <v>28</v>
      </c>
      <c r="E247" t="s">
        <v>14</v>
      </c>
      <c r="F247" t="s">
        <v>15</v>
      </c>
      <c r="G247" s="2">
        <v>2</v>
      </c>
      <c r="H247" s="3">
        <v>1916</v>
      </c>
      <c r="I247" s="3">
        <v>1174</v>
      </c>
      <c r="J247" s="3">
        <v>742</v>
      </c>
    </row>
    <row r="248" spans="1:10" x14ac:dyDescent="0.25">
      <c r="A248" t="s">
        <v>450</v>
      </c>
      <c r="B248" s="1" t="s">
        <v>451</v>
      </c>
      <c r="C248" t="s">
        <v>24</v>
      </c>
      <c r="D248" t="s">
        <v>19</v>
      </c>
      <c r="E248" t="s">
        <v>58</v>
      </c>
      <c r="F248" t="s">
        <v>15</v>
      </c>
      <c r="G248" s="2">
        <v>3</v>
      </c>
      <c r="H248" s="3">
        <v>2121</v>
      </c>
      <c r="I248" s="3">
        <v>1623</v>
      </c>
      <c r="J248" s="3">
        <v>498</v>
      </c>
    </row>
    <row r="249" spans="1:10" x14ac:dyDescent="0.25">
      <c r="A249" t="s">
        <v>452</v>
      </c>
      <c r="B249" s="1" t="s">
        <v>49</v>
      </c>
      <c r="C249" t="s">
        <v>24</v>
      </c>
      <c r="D249" t="s">
        <v>32</v>
      </c>
      <c r="E249" t="s">
        <v>14</v>
      </c>
      <c r="F249" t="s">
        <v>15</v>
      </c>
      <c r="G249" s="2">
        <v>2</v>
      </c>
      <c r="H249" s="3">
        <v>1318</v>
      </c>
      <c r="I249" s="3">
        <v>969</v>
      </c>
      <c r="J249" s="3">
        <v>349</v>
      </c>
    </row>
    <row r="250" spans="1:10" x14ac:dyDescent="0.25">
      <c r="A250" t="s">
        <v>453</v>
      </c>
      <c r="B250" s="1" t="s">
        <v>454</v>
      </c>
      <c r="C250" t="s">
        <v>18</v>
      </c>
      <c r="D250" t="s">
        <v>13</v>
      </c>
      <c r="E250" t="s">
        <v>29</v>
      </c>
      <c r="F250" t="s">
        <v>15</v>
      </c>
      <c r="G250" s="2">
        <v>2</v>
      </c>
      <c r="H250" s="3">
        <v>700</v>
      </c>
      <c r="I250" s="3">
        <v>439</v>
      </c>
      <c r="J250" s="3">
        <v>261</v>
      </c>
    </row>
    <row r="251" spans="1:10" x14ac:dyDescent="0.25">
      <c r="A251" t="s">
        <v>455</v>
      </c>
      <c r="B251" s="1" t="s">
        <v>81</v>
      </c>
      <c r="C251" t="s">
        <v>24</v>
      </c>
      <c r="D251" t="s">
        <v>37</v>
      </c>
      <c r="E251" t="s">
        <v>71</v>
      </c>
      <c r="F251" t="s">
        <v>21</v>
      </c>
      <c r="G251" s="2">
        <v>1</v>
      </c>
      <c r="H251" s="3">
        <v>1112</v>
      </c>
      <c r="I251" s="3">
        <v>758</v>
      </c>
      <c r="J251" s="3">
        <v>354</v>
      </c>
    </row>
    <row r="252" spans="1:10" x14ac:dyDescent="0.25">
      <c r="A252" t="s">
        <v>456</v>
      </c>
      <c r="B252" s="1" t="s">
        <v>457</v>
      </c>
      <c r="C252" t="s">
        <v>12</v>
      </c>
      <c r="D252" t="s">
        <v>28</v>
      </c>
      <c r="E252" t="s">
        <v>14</v>
      </c>
      <c r="F252" t="s">
        <v>15</v>
      </c>
      <c r="G252" s="2">
        <v>4</v>
      </c>
      <c r="H252" s="3">
        <v>1096</v>
      </c>
      <c r="I252" s="3">
        <v>719</v>
      </c>
      <c r="J252" s="3">
        <v>377</v>
      </c>
    </row>
    <row r="253" spans="1:10" x14ac:dyDescent="0.25">
      <c r="A253" t="s">
        <v>458</v>
      </c>
      <c r="B253" s="1" t="s">
        <v>244</v>
      </c>
      <c r="C253" t="s">
        <v>24</v>
      </c>
      <c r="D253" t="s">
        <v>13</v>
      </c>
      <c r="E253" t="s">
        <v>38</v>
      </c>
      <c r="F253" t="s">
        <v>21</v>
      </c>
      <c r="G253" s="2">
        <v>2</v>
      </c>
      <c r="H253" s="3">
        <v>1012</v>
      </c>
      <c r="I253" s="3">
        <v>748</v>
      </c>
      <c r="J253" s="3">
        <v>264</v>
      </c>
    </row>
    <row r="254" spans="1:10" x14ac:dyDescent="0.25">
      <c r="A254" t="s">
        <v>459</v>
      </c>
      <c r="B254" s="1" t="s">
        <v>136</v>
      </c>
      <c r="C254" t="s">
        <v>24</v>
      </c>
      <c r="D254" t="s">
        <v>32</v>
      </c>
      <c r="E254" t="s">
        <v>58</v>
      </c>
      <c r="F254" t="s">
        <v>15</v>
      </c>
      <c r="G254" s="2">
        <v>2</v>
      </c>
      <c r="H254" s="3">
        <v>2058</v>
      </c>
      <c r="I254" s="3">
        <v>1311</v>
      </c>
      <c r="J254" s="3">
        <v>747</v>
      </c>
    </row>
    <row r="255" spans="1:10" x14ac:dyDescent="0.25">
      <c r="A255" t="s">
        <v>460</v>
      </c>
      <c r="B255" s="1" t="s">
        <v>379</v>
      </c>
      <c r="C255" t="s">
        <v>12</v>
      </c>
      <c r="D255" t="s">
        <v>47</v>
      </c>
      <c r="E255" t="s">
        <v>71</v>
      </c>
      <c r="F255" t="s">
        <v>21</v>
      </c>
      <c r="G255" s="2">
        <v>4</v>
      </c>
      <c r="H255" s="3">
        <v>580</v>
      </c>
      <c r="I255" s="3">
        <v>387</v>
      </c>
      <c r="J255" s="3">
        <v>193</v>
      </c>
    </row>
    <row r="256" spans="1:10" x14ac:dyDescent="0.25">
      <c r="A256" t="s">
        <v>461</v>
      </c>
      <c r="B256" s="1" t="s">
        <v>462</v>
      </c>
      <c r="C256" t="s">
        <v>18</v>
      </c>
      <c r="D256" t="s">
        <v>37</v>
      </c>
      <c r="E256" t="s">
        <v>71</v>
      </c>
      <c r="F256" t="s">
        <v>21</v>
      </c>
      <c r="G256" s="2">
        <v>3</v>
      </c>
      <c r="H256" s="3">
        <v>702</v>
      </c>
      <c r="I256" s="3">
        <v>456</v>
      </c>
      <c r="J256" s="3">
        <v>246</v>
      </c>
    </row>
    <row r="257" spans="1:10" x14ac:dyDescent="0.25">
      <c r="A257" t="s">
        <v>463</v>
      </c>
      <c r="B257" s="1" t="s">
        <v>464</v>
      </c>
      <c r="C257" t="s">
        <v>27</v>
      </c>
      <c r="D257" t="s">
        <v>28</v>
      </c>
      <c r="E257" t="s">
        <v>38</v>
      </c>
      <c r="F257" t="s">
        <v>21</v>
      </c>
      <c r="G257" s="2">
        <v>2</v>
      </c>
      <c r="H257" s="3">
        <v>460</v>
      </c>
      <c r="I257" s="3">
        <v>284</v>
      </c>
      <c r="J257" s="3">
        <v>176</v>
      </c>
    </row>
    <row r="258" spans="1:10" x14ac:dyDescent="0.25">
      <c r="A258" t="s">
        <v>465</v>
      </c>
      <c r="B258" s="1" t="s">
        <v>466</v>
      </c>
      <c r="C258" t="s">
        <v>12</v>
      </c>
      <c r="D258" t="s">
        <v>28</v>
      </c>
      <c r="E258" t="s">
        <v>71</v>
      </c>
      <c r="F258" t="s">
        <v>21</v>
      </c>
      <c r="G258" s="2">
        <v>3</v>
      </c>
      <c r="H258" s="3">
        <v>3387</v>
      </c>
      <c r="I258" s="3">
        <v>2423</v>
      </c>
      <c r="J258" s="3">
        <v>964</v>
      </c>
    </row>
    <row r="259" spans="1:10" x14ac:dyDescent="0.25">
      <c r="A259" t="s">
        <v>467</v>
      </c>
      <c r="B259" s="1" t="s">
        <v>383</v>
      </c>
      <c r="C259" t="s">
        <v>27</v>
      </c>
      <c r="D259" t="s">
        <v>37</v>
      </c>
      <c r="E259" t="s">
        <v>71</v>
      </c>
      <c r="F259" t="s">
        <v>21</v>
      </c>
      <c r="G259" s="2">
        <v>1</v>
      </c>
      <c r="H259" s="3">
        <v>847</v>
      </c>
      <c r="I259" s="3">
        <v>628</v>
      </c>
      <c r="J259" s="3">
        <v>219</v>
      </c>
    </row>
    <row r="260" spans="1:10" x14ac:dyDescent="0.25">
      <c r="A260" t="s">
        <v>468</v>
      </c>
      <c r="B260" s="1" t="s">
        <v>469</v>
      </c>
      <c r="C260" t="s">
        <v>12</v>
      </c>
      <c r="D260" t="s">
        <v>19</v>
      </c>
      <c r="E260" t="s">
        <v>71</v>
      </c>
      <c r="F260" t="s">
        <v>21</v>
      </c>
      <c r="G260" s="2">
        <v>4</v>
      </c>
      <c r="H260" s="3">
        <v>4468</v>
      </c>
      <c r="I260" s="3">
        <v>3341</v>
      </c>
      <c r="J260" s="3">
        <v>1127</v>
      </c>
    </row>
    <row r="261" spans="1:10" x14ac:dyDescent="0.25">
      <c r="A261" t="s">
        <v>470</v>
      </c>
      <c r="B261" s="1" t="s">
        <v>388</v>
      </c>
      <c r="C261" t="s">
        <v>24</v>
      </c>
      <c r="D261" t="s">
        <v>47</v>
      </c>
      <c r="E261" t="s">
        <v>71</v>
      </c>
      <c r="F261" t="s">
        <v>21</v>
      </c>
      <c r="G261" s="2">
        <v>5</v>
      </c>
      <c r="H261" s="3">
        <v>4690</v>
      </c>
      <c r="I261" s="3">
        <v>3492</v>
      </c>
      <c r="J261" s="3">
        <v>1198</v>
      </c>
    </row>
    <row r="262" spans="1:10" x14ac:dyDescent="0.25">
      <c r="A262" t="s">
        <v>471</v>
      </c>
      <c r="B262" s="1" t="s">
        <v>472</v>
      </c>
      <c r="C262" t="s">
        <v>24</v>
      </c>
      <c r="D262" t="s">
        <v>37</v>
      </c>
      <c r="E262" t="s">
        <v>20</v>
      </c>
      <c r="F262" t="s">
        <v>21</v>
      </c>
      <c r="G262" s="2">
        <v>3</v>
      </c>
      <c r="H262" s="3">
        <v>3597</v>
      </c>
      <c r="I262" s="3">
        <v>2640</v>
      </c>
      <c r="J262" s="3">
        <v>957</v>
      </c>
    </row>
    <row r="263" spans="1:10" x14ac:dyDescent="0.25">
      <c r="A263" t="s">
        <v>473</v>
      </c>
      <c r="B263" s="1" t="s">
        <v>356</v>
      </c>
      <c r="C263" t="s">
        <v>12</v>
      </c>
      <c r="D263" t="s">
        <v>19</v>
      </c>
      <c r="E263" t="s">
        <v>29</v>
      </c>
      <c r="F263" t="s">
        <v>15</v>
      </c>
      <c r="G263" s="2">
        <v>1</v>
      </c>
      <c r="H263" s="3">
        <v>828</v>
      </c>
      <c r="I263" s="3">
        <v>502</v>
      </c>
      <c r="J263" s="3">
        <v>326</v>
      </c>
    </row>
    <row r="264" spans="1:10" x14ac:dyDescent="0.25">
      <c r="A264" t="s">
        <v>474</v>
      </c>
      <c r="B264" s="1" t="s">
        <v>475</v>
      </c>
      <c r="C264" t="s">
        <v>24</v>
      </c>
      <c r="D264" t="s">
        <v>47</v>
      </c>
      <c r="E264" t="s">
        <v>20</v>
      </c>
      <c r="F264" t="s">
        <v>21</v>
      </c>
      <c r="G264" s="2">
        <v>3</v>
      </c>
      <c r="H264" s="3">
        <v>1314</v>
      </c>
      <c r="I264" s="3">
        <v>1014</v>
      </c>
      <c r="J264" s="3">
        <v>300</v>
      </c>
    </row>
    <row r="265" spans="1:10" x14ac:dyDescent="0.25">
      <c r="A265" t="s">
        <v>476</v>
      </c>
      <c r="B265" s="1" t="s">
        <v>60</v>
      </c>
      <c r="C265" t="s">
        <v>24</v>
      </c>
      <c r="D265" t="s">
        <v>37</v>
      </c>
      <c r="E265" t="s">
        <v>29</v>
      </c>
      <c r="F265" t="s">
        <v>15</v>
      </c>
      <c r="G265" s="2">
        <v>2</v>
      </c>
      <c r="H265" s="3">
        <v>736</v>
      </c>
      <c r="I265" s="3">
        <v>479</v>
      </c>
      <c r="J265" s="3">
        <v>257</v>
      </c>
    </row>
    <row r="266" spans="1:10" x14ac:dyDescent="0.25">
      <c r="A266" t="s">
        <v>477</v>
      </c>
      <c r="B266" s="1" t="s">
        <v>391</v>
      </c>
      <c r="C266" t="s">
        <v>27</v>
      </c>
      <c r="D266" t="s">
        <v>13</v>
      </c>
      <c r="E266" t="s">
        <v>20</v>
      </c>
      <c r="F266" t="s">
        <v>21</v>
      </c>
      <c r="G266" s="2">
        <v>5</v>
      </c>
      <c r="H266" s="3">
        <v>2540</v>
      </c>
      <c r="I266" s="3">
        <v>1564</v>
      </c>
      <c r="J266" s="3">
        <v>976</v>
      </c>
    </row>
    <row r="267" spans="1:10" x14ac:dyDescent="0.25">
      <c r="A267" t="s">
        <v>478</v>
      </c>
      <c r="B267" s="1" t="s">
        <v>479</v>
      </c>
      <c r="C267" t="s">
        <v>18</v>
      </c>
      <c r="D267" t="s">
        <v>13</v>
      </c>
      <c r="E267" t="s">
        <v>20</v>
      </c>
      <c r="F267" t="s">
        <v>21</v>
      </c>
      <c r="G267" s="2">
        <v>2</v>
      </c>
      <c r="H267" s="3">
        <v>210</v>
      </c>
      <c r="I267" s="3">
        <v>164</v>
      </c>
      <c r="J267" s="3">
        <v>46</v>
      </c>
    </row>
    <row r="268" spans="1:10" x14ac:dyDescent="0.25">
      <c r="A268" t="s">
        <v>480</v>
      </c>
      <c r="B268" s="1" t="s">
        <v>174</v>
      </c>
      <c r="C268" t="s">
        <v>18</v>
      </c>
      <c r="D268" t="s">
        <v>32</v>
      </c>
      <c r="E268" t="s">
        <v>71</v>
      </c>
      <c r="F268" t="s">
        <v>21</v>
      </c>
      <c r="G268" s="2">
        <v>4</v>
      </c>
      <c r="H268" s="3">
        <v>2760</v>
      </c>
      <c r="I268" s="3">
        <v>1687</v>
      </c>
      <c r="J268" s="3">
        <v>1073</v>
      </c>
    </row>
    <row r="269" spans="1:10" x14ac:dyDescent="0.25">
      <c r="A269" t="s">
        <v>481</v>
      </c>
      <c r="B269" s="1" t="s">
        <v>475</v>
      </c>
      <c r="C269" t="s">
        <v>12</v>
      </c>
      <c r="D269" t="s">
        <v>28</v>
      </c>
      <c r="E269" t="s">
        <v>38</v>
      </c>
      <c r="F269" t="s">
        <v>21</v>
      </c>
      <c r="G269" s="2">
        <v>1</v>
      </c>
      <c r="H269" s="3">
        <v>870</v>
      </c>
      <c r="I269" s="3">
        <v>557</v>
      </c>
      <c r="J269" s="3">
        <v>313</v>
      </c>
    </row>
    <row r="270" spans="1:10" x14ac:dyDescent="0.25">
      <c r="A270" t="s">
        <v>482</v>
      </c>
      <c r="B270" s="1" t="s">
        <v>93</v>
      </c>
      <c r="C270" t="s">
        <v>24</v>
      </c>
      <c r="D270" t="s">
        <v>47</v>
      </c>
      <c r="E270" t="s">
        <v>14</v>
      </c>
      <c r="F270" t="s">
        <v>15</v>
      </c>
      <c r="G270" s="2">
        <v>2</v>
      </c>
      <c r="H270" s="3">
        <v>444</v>
      </c>
      <c r="I270" s="3">
        <v>343</v>
      </c>
      <c r="J270" s="3">
        <v>101</v>
      </c>
    </row>
    <row r="271" spans="1:10" x14ac:dyDescent="0.25">
      <c r="A271" t="s">
        <v>483</v>
      </c>
      <c r="B271" s="1" t="s">
        <v>484</v>
      </c>
      <c r="C271" t="s">
        <v>27</v>
      </c>
      <c r="D271" t="s">
        <v>37</v>
      </c>
      <c r="E271" t="s">
        <v>58</v>
      </c>
      <c r="F271" t="s">
        <v>15</v>
      </c>
      <c r="G271" s="2">
        <v>1</v>
      </c>
      <c r="H271" s="3">
        <v>477</v>
      </c>
      <c r="I271" s="3">
        <v>353</v>
      </c>
      <c r="J271" s="3">
        <v>124</v>
      </c>
    </row>
    <row r="272" spans="1:10" x14ac:dyDescent="0.25">
      <c r="A272" t="s">
        <v>485</v>
      </c>
      <c r="B272" s="1" t="s">
        <v>55</v>
      </c>
      <c r="C272" t="s">
        <v>12</v>
      </c>
      <c r="D272" t="s">
        <v>28</v>
      </c>
      <c r="E272" t="s">
        <v>38</v>
      </c>
      <c r="F272" t="s">
        <v>21</v>
      </c>
      <c r="G272" s="2">
        <v>3</v>
      </c>
      <c r="H272" s="3">
        <v>1119</v>
      </c>
      <c r="I272" s="3">
        <v>674</v>
      </c>
      <c r="J272" s="3">
        <v>445</v>
      </c>
    </row>
    <row r="273" spans="1:10" x14ac:dyDescent="0.25">
      <c r="A273" t="s">
        <v>486</v>
      </c>
      <c r="B273" s="1" t="s">
        <v>330</v>
      </c>
      <c r="C273" t="s">
        <v>18</v>
      </c>
      <c r="D273" t="s">
        <v>37</v>
      </c>
      <c r="E273" t="s">
        <v>20</v>
      </c>
      <c r="F273" t="s">
        <v>21</v>
      </c>
      <c r="G273" s="2">
        <v>1</v>
      </c>
      <c r="H273" s="3">
        <v>509</v>
      </c>
      <c r="I273" s="3">
        <v>379</v>
      </c>
      <c r="J273" s="3">
        <v>130</v>
      </c>
    </row>
    <row r="274" spans="1:10" x14ac:dyDescent="0.25">
      <c r="A274" t="s">
        <v>487</v>
      </c>
      <c r="B274" s="1" t="s">
        <v>167</v>
      </c>
      <c r="C274" t="s">
        <v>27</v>
      </c>
      <c r="D274" t="s">
        <v>47</v>
      </c>
      <c r="E274" t="s">
        <v>38</v>
      </c>
      <c r="F274" t="s">
        <v>21</v>
      </c>
      <c r="G274" s="2">
        <v>4</v>
      </c>
      <c r="H274" s="3">
        <v>3660</v>
      </c>
      <c r="I274" s="3">
        <v>2233</v>
      </c>
      <c r="J274" s="3">
        <v>1427</v>
      </c>
    </row>
    <row r="275" spans="1:10" x14ac:dyDescent="0.25">
      <c r="A275" t="s">
        <v>488</v>
      </c>
      <c r="B275" s="1" t="s">
        <v>233</v>
      </c>
      <c r="C275" t="s">
        <v>12</v>
      </c>
      <c r="D275" t="s">
        <v>32</v>
      </c>
      <c r="E275" t="s">
        <v>20</v>
      </c>
      <c r="F275" t="s">
        <v>21</v>
      </c>
      <c r="G275" s="2">
        <v>3</v>
      </c>
      <c r="H275" s="3">
        <v>2724</v>
      </c>
      <c r="I275" s="3">
        <v>1707</v>
      </c>
      <c r="J275" s="3">
        <v>1017</v>
      </c>
    </row>
    <row r="276" spans="1:10" x14ac:dyDescent="0.25">
      <c r="A276" t="s">
        <v>489</v>
      </c>
      <c r="B276" s="1" t="s">
        <v>490</v>
      </c>
      <c r="C276" t="s">
        <v>24</v>
      </c>
      <c r="D276" t="s">
        <v>28</v>
      </c>
      <c r="E276" t="s">
        <v>58</v>
      </c>
      <c r="F276" t="s">
        <v>15</v>
      </c>
      <c r="G276" s="2">
        <v>4</v>
      </c>
      <c r="H276" s="3">
        <v>4744</v>
      </c>
      <c r="I276" s="3">
        <v>3493</v>
      </c>
      <c r="J276" s="3">
        <v>1251</v>
      </c>
    </row>
    <row r="277" spans="1:10" x14ac:dyDescent="0.25">
      <c r="A277" t="s">
        <v>491</v>
      </c>
      <c r="B277" s="1" t="s">
        <v>419</v>
      </c>
      <c r="C277" t="s">
        <v>18</v>
      </c>
      <c r="D277" t="s">
        <v>37</v>
      </c>
      <c r="E277" t="s">
        <v>20</v>
      </c>
      <c r="F277" t="s">
        <v>21</v>
      </c>
      <c r="G277" s="2">
        <v>2</v>
      </c>
      <c r="H277" s="3">
        <v>1040</v>
      </c>
      <c r="I277" s="3">
        <v>777</v>
      </c>
      <c r="J277" s="3">
        <v>263</v>
      </c>
    </row>
    <row r="278" spans="1:10" x14ac:dyDescent="0.25">
      <c r="A278" t="s">
        <v>492</v>
      </c>
      <c r="B278" s="1" t="s">
        <v>46</v>
      </c>
      <c r="C278" t="s">
        <v>12</v>
      </c>
      <c r="D278" t="s">
        <v>37</v>
      </c>
      <c r="E278" t="s">
        <v>14</v>
      </c>
      <c r="F278" t="s">
        <v>15</v>
      </c>
      <c r="G278" s="2">
        <v>5</v>
      </c>
      <c r="H278" s="3">
        <v>4935</v>
      </c>
      <c r="I278" s="3">
        <v>3162</v>
      </c>
      <c r="J278" s="3">
        <v>1773</v>
      </c>
    </row>
    <row r="279" spans="1:10" x14ac:dyDescent="0.25">
      <c r="A279" t="s">
        <v>493</v>
      </c>
      <c r="B279" s="1" t="s">
        <v>113</v>
      </c>
      <c r="C279" t="s">
        <v>24</v>
      </c>
      <c r="D279" t="s">
        <v>28</v>
      </c>
      <c r="E279" t="s">
        <v>20</v>
      </c>
      <c r="F279" t="s">
        <v>21</v>
      </c>
      <c r="G279" s="2">
        <v>5</v>
      </c>
      <c r="H279" s="3">
        <v>3970</v>
      </c>
      <c r="I279" s="3">
        <v>2489</v>
      </c>
      <c r="J279" s="3">
        <v>1481</v>
      </c>
    </row>
    <row r="280" spans="1:10" x14ac:dyDescent="0.25">
      <c r="A280" t="s">
        <v>494</v>
      </c>
      <c r="B280" s="1" t="s">
        <v>345</v>
      </c>
      <c r="C280" t="s">
        <v>27</v>
      </c>
      <c r="D280" t="s">
        <v>47</v>
      </c>
      <c r="E280" t="s">
        <v>20</v>
      </c>
      <c r="F280" t="s">
        <v>21</v>
      </c>
      <c r="G280" s="2">
        <v>2</v>
      </c>
      <c r="H280" s="3">
        <v>902</v>
      </c>
      <c r="I280" s="3">
        <v>565</v>
      </c>
      <c r="J280" s="3">
        <v>337</v>
      </c>
    </row>
    <row r="281" spans="1:10" x14ac:dyDescent="0.25">
      <c r="A281" t="s">
        <v>495</v>
      </c>
      <c r="B281" s="1" t="s">
        <v>496</v>
      </c>
      <c r="C281" t="s">
        <v>12</v>
      </c>
      <c r="D281" t="s">
        <v>32</v>
      </c>
      <c r="E281" t="s">
        <v>20</v>
      </c>
      <c r="F281" t="s">
        <v>21</v>
      </c>
      <c r="G281" s="2">
        <v>2</v>
      </c>
      <c r="H281" s="3">
        <v>426</v>
      </c>
      <c r="I281" s="3">
        <v>259</v>
      </c>
      <c r="J281" s="3">
        <v>167</v>
      </c>
    </row>
    <row r="282" spans="1:10" x14ac:dyDescent="0.25">
      <c r="A282" t="s">
        <v>497</v>
      </c>
      <c r="B282" s="1" t="s">
        <v>178</v>
      </c>
      <c r="C282" t="s">
        <v>18</v>
      </c>
      <c r="D282" t="s">
        <v>37</v>
      </c>
      <c r="E282" t="s">
        <v>38</v>
      </c>
      <c r="F282" t="s">
        <v>21</v>
      </c>
      <c r="G282" s="2">
        <v>4</v>
      </c>
      <c r="H282" s="3">
        <v>1560</v>
      </c>
      <c r="I282" s="3">
        <v>1107</v>
      </c>
      <c r="J282" s="3">
        <v>453</v>
      </c>
    </row>
    <row r="283" spans="1:10" x14ac:dyDescent="0.25">
      <c r="A283" t="s">
        <v>498</v>
      </c>
      <c r="B283" s="1" t="s">
        <v>499</v>
      </c>
      <c r="C283" t="s">
        <v>12</v>
      </c>
      <c r="D283" t="s">
        <v>47</v>
      </c>
      <c r="E283" t="s">
        <v>38</v>
      </c>
      <c r="F283" t="s">
        <v>21</v>
      </c>
      <c r="G283" s="2">
        <v>1</v>
      </c>
      <c r="H283" s="3">
        <v>1046</v>
      </c>
      <c r="I283" s="3">
        <v>722</v>
      </c>
      <c r="J283" s="3">
        <v>324</v>
      </c>
    </row>
    <row r="284" spans="1:10" x14ac:dyDescent="0.25">
      <c r="A284" t="s">
        <v>500</v>
      </c>
      <c r="B284" s="1" t="s">
        <v>132</v>
      </c>
      <c r="C284" t="s">
        <v>12</v>
      </c>
      <c r="D284" t="s">
        <v>28</v>
      </c>
      <c r="E284" t="s">
        <v>29</v>
      </c>
      <c r="F284" t="s">
        <v>15</v>
      </c>
      <c r="G284" s="2">
        <v>3</v>
      </c>
      <c r="H284" s="3">
        <v>1215</v>
      </c>
      <c r="I284" s="3">
        <v>917</v>
      </c>
      <c r="J284" s="3">
        <v>298</v>
      </c>
    </row>
    <row r="285" spans="1:10" x14ac:dyDescent="0.25">
      <c r="A285" t="s">
        <v>501</v>
      </c>
      <c r="B285" s="1" t="s">
        <v>502</v>
      </c>
      <c r="C285" t="s">
        <v>18</v>
      </c>
      <c r="D285" t="s">
        <v>37</v>
      </c>
      <c r="E285" t="s">
        <v>29</v>
      </c>
      <c r="F285" t="s">
        <v>15</v>
      </c>
      <c r="G285" s="2">
        <v>5</v>
      </c>
      <c r="H285" s="3">
        <v>1070</v>
      </c>
      <c r="I285" s="3">
        <v>662</v>
      </c>
      <c r="J285" s="3">
        <v>408</v>
      </c>
    </row>
    <row r="286" spans="1:10" x14ac:dyDescent="0.25">
      <c r="A286" t="s">
        <v>503</v>
      </c>
      <c r="B286" s="1" t="s">
        <v>150</v>
      </c>
      <c r="C286" t="s">
        <v>12</v>
      </c>
      <c r="D286" t="s">
        <v>19</v>
      </c>
      <c r="E286" t="s">
        <v>20</v>
      </c>
      <c r="F286" t="s">
        <v>21</v>
      </c>
      <c r="G286" s="2">
        <v>3</v>
      </c>
      <c r="H286" s="3">
        <v>2532</v>
      </c>
      <c r="I286" s="3">
        <v>1846</v>
      </c>
      <c r="J286" s="3">
        <v>686</v>
      </c>
    </row>
    <row r="287" spans="1:10" x14ac:dyDescent="0.25">
      <c r="A287" t="s">
        <v>504</v>
      </c>
      <c r="B287" s="1" t="s">
        <v>97</v>
      </c>
      <c r="C287" t="s">
        <v>24</v>
      </c>
      <c r="D287" t="s">
        <v>13</v>
      </c>
      <c r="E287" t="s">
        <v>29</v>
      </c>
      <c r="F287" t="s">
        <v>15</v>
      </c>
      <c r="G287" s="2">
        <v>2</v>
      </c>
      <c r="H287" s="3">
        <v>1494</v>
      </c>
      <c r="I287" s="3">
        <v>1088</v>
      </c>
      <c r="J287" s="3">
        <v>406</v>
      </c>
    </row>
    <row r="288" spans="1:10" x14ac:dyDescent="0.25">
      <c r="A288" t="s">
        <v>505</v>
      </c>
      <c r="B288" s="1" t="s">
        <v>213</v>
      </c>
      <c r="C288" t="s">
        <v>27</v>
      </c>
      <c r="D288" t="s">
        <v>47</v>
      </c>
      <c r="E288" t="s">
        <v>38</v>
      </c>
      <c r="F288" t="s">
        <v>21</v>
      </c>
      <c r="G288" s="2">
        <v>1</v>
      </c>
      <c r="H288" s="3">
        <v>508</v>
      </c>
      <c r="I288" s="3">
        <v>380</v>
      </c>
      <c r="J288" s="3">
        <v>128</v>
      </c>
    </row>
    <row r="289" spans="1:10" x14ac:dyDescent="0.25">
      <c r="A289" t="s">
        <v>506</v>
      </c>
      <c r="B289" s="1" t="s">
        <v>499</v>
      </c>
      <c r="C289" t="s">
        <v>12</v>
      </c>
      <c r="D289" t="s">
        <v>47</v>
      </c>
      <c r="E289" t="s">
        <v>14</v>
      </c>
      <c r="F289" t="s">
        <v>15</v>
      </c>
      <c r="G289" s="2">
        <v>2</v>
      </c>
      <c r="H289" s="3">
        <v>1780</v>
      </c>
      <c r="I289" s="3">
        <v>1405</v>
      </c>
      <c r="J289" s="3">
        <v>375</v>
      </c>
    </row>
    <row r="290" spans="1:10" x14ac:dyDescent="0.25">
      <c r="A290" t="s">
        <v>507</v>
      </c>
      <c r="B290" s="1" t="s">
        <v>508</v>
      </c>
      <c r="C290" t="s">
        <v>18</v>
      </c>
      <c r="D290" t="s">
        <v>19</v>
      </c>
      <c r="E290" t="s">
        <v>38</v>
      </c>
      <c r="F290" t="s">
        <v>21</v>
      </c>
      <c r="G290" s="2">
        <v>3</v>
      </c>
      <c r="H290" s="3">
        <v>885</v>
      </c>
      <c r="I290" s="3">
        <v>648</v>
      </c>
      <c r="J290" s="3">
        <v>237</v>
      </c>
    </row>
    <row r="291" spans="1:10" x14ac:dyDescent="0.25">
      <c r="A291" t="s">
        <v>509</v>
      </c>
      <c r="B291" s="1" t="s">
        <v>475</v>
      </c>
      <c r="C291" t="s">
        <v>24</v>
      </c>
      <c r="D291" t="s">
        <v>13</v>
      </c>
      <c r="E291" t="s">
        <v>38</v>
      </c>
      <c r="F291" t="s">
        <v>21</v>
      </c>
      <c r="G291" s="2">
        <v>5</v>
      </c>
      <c r="H291" s="3">
        <v>1315</v>
      </c>
      <c r="I291" s="3">
        <v>819</v>
      </c>
      <c r="J291" s="3">
        <v>496</v>
      </c>
    </row>
    <row r="292" spans="1:10" x14ac:dyDescent="0.25">
      <c r="A292" t="s">
        <v>510</v>
      </c>
      <c r="B292" s="1" t="s">
        <v>115</v>
      </c>
      <c r="C292" t="s">
        <v>27</v>
      </c>
      <c r="D292" t="s">
        <v>47</v>
      </c>
      <c r="E292" t="s">
        <v>71</v>
      </c>
      <c r="F292" t="s">
        <v>21</v>
      </c>
      <c r="G292" s="2">
        <v>2</v>
      </c>
      <c r="H292" s="3">
        <v>1544</v>
      </c>
      <c r="I292" s="3">
        <v>992</v>
      </c>
      <c r="J292" s="3">
        <v>552</v>
      </c>
    </row>
    <row r="293" spans="1:10" x14ac:dyDescent="0.25">
      <c r="A293" t="s">
        <v>511</v>
      </c>
      <c r="B293" s="1" t="s">
        <v>379</v>
      </c>
      <c r="C293" t="s">
        <v>24</v>
      </c>
      <c r="D293" t="s">
        <v>37</v>
      </c>
      <c r="E293" t="s">
        <v>29</v>
      </c>
      <c r="F293" t="s">
        <v>15</v>
      </c>
      <c r="G293" s="2">
        <v>3</v>
      </c>
      <c r="H293" s="3">
        <v>2709</v>
      </c>
      <c r="I293" s="3">
        <v>1987</v>
      </c>
      <c r="J293" s="3">
        <v>722</v>
      </c>
    </row>
    <row r="294" spans="1:10" x14ac:dyDescent="0.25">
      <c r="A294" t="s">
        <v>512</v>
      </c>
      <c r="B294" s="1" t="s">
        <v>257</v>
      </c>
      <c r="C294" t="s">
        <v>27</v>
      </c>
      <c r="D294" t="s">
        <v>47</v>
      </c>
      <c r="E294" t="s">
        <v>58</v>
      </c>
      <c r="F294" t="s">
        <v>15</v>
      </c>
      <c r="G294" s="2">
        <v>3</v>
      </c>
      <c r="H294" s="3">
        <v>2670</v>
      </c>
      <c r="I294" s="3">
        <v>1724</v>
      </c>
      <c r="J294" s="3">
        <v>946</v>
      </c>
    </row>
    <row r="295" spans="1:10" x14ac:dyDescent="0.25">
      <c r="A295" t="s">
        <v>513</v>
      </c>
      <c r="B295" s="1" t="s">
        <v>514</v>
      </c>
      <c r="C295" t="s">
        <v>12</v>
      </c>
      <c r="D295" t="s">
        <v>32</v>
      </c>
      <c r="E295" t="s">
        <v>20</v>
      </c>
      <c r="F295" t="s">
        <v>21</v>
      </c>
      <c r="G295" s="2">
        <v>3</v>
      </c>
      <c r="H295" s="3">
        <v>2709</v>
      </c>
      <c r="I295" s="3">
        <v>1841</v>
      </c>
      <c r="J295" s="3">
        <v>868</v>
      </c>
    </row>
    <row r="296" spans="1:10" x14ac:dyDescent="0.25">
      <c r="A296" t="s">
        <v>515</v>
      </c>
      <c r="B296" s="1" t="s">
        <v>516</v>
      </c>
      <c r="C296" t="s">
        <v>12</v>
      </c>
      <c r="D296" t="s">
        <v>47</v>
      </c>
      <c r="E296" t="s">
        <v>20</v>
      </c>
      <c r="F296" t="s">
        <v>21</v>
      </c>
      <c r="G296" s="2">
        <v>4</v>
      </c>
      <c r="H296" s="3">
        <v>1176</v>
      </c>
      <c r="I296" s="3">
        <v>878</v>
      </c>
      <c r="J296" s="3">
        <v>298</v>
      </c>
    </row>
    <row r="297" spans="1:10" x14ac:dyDescent="0.25">
      <c r="A297" t="s">
        <v>517</v>
      </c>
      <c r="B297" s="1" t="s">
        <v>393</v>
      </c>
      <c r="C297" t="s">
        <v>24</v>
      </c>
      <c r="D297" t="s">
        <v>37</v>
      </c>
      <c r="E297" t="s">
        <v>38</v>
      </c>
      <c r="F297" t="s">
        <v>21</v>
      </c>
      <c r="G297" s="2">
        <v>1</v>
      </c>
      <c r="H297" s="3">
        <v>1004</v>
      </c>
      <c r="I297" s="3">
        <v>667</v>
      </c>
      <c r="J297" s="3">
        <v>337</v>
      </c>
    </row>
    <row r="298" spans="1:10" x14ac:dyDescent="0.25">
      <c r="A298" t="s">
        <v>518</v>
      </c>
      <c r="B298" s="1" t="s">
        <v>519</v>
      </c>
      <c r="C298" t="s">
        <v>24</v>
      </c>
      <c r="D298" t="s">
        <v>37</v>
      </c>
      <c r="E298" t="s">
        <v>38</v>
      </c>
      <c r="F298" t="s">
        <v>21</v>
      </c>
      <c r="G298" s="2">
        <v>5</v>
      </c>
      <c r="H298" s="3">
        <v>4325</v>
      </c>
      <c r="I298" s="3">
        <v>2623</v>
      </c>
      <c r="J298" s="3">
        <v>1702</v>
      </c>
    </row>
    <row r="299" spans="1:10" x14ac:dyDescent="0.25">
      <c r="A299" t="s">
        <v>520</v>
      </c>
      <c r="B299" s="1" t="s">
        <v>521</v>
      </c>
      <c r="C299" t="s">
        <v>27</v>
      </c>
      <c r="D299" t="s">
        <v>19</v>
      </c>
      <c r="E299" t="s">
        <v>29</v>
      </c>
      <c r="F299" t="s">
        <v>15</v>
      </c>
      <c r="G299" s="2">
        <v>3</v>
      </c>
      <c r="H299" s="3">
        <v>3189</v>
      </c>
      <c r="I299" s="3">
        <v>2333</v>
      </c>
      <c r="J299" s="3">
        <v>856</v>
      </c>
    </row>
    <row r="300" spans="1:10" x14ac:dyDescent="0.25">
      <c r="A300" t="s">
        <v>522</v>
      </c>
      <c r="B300" s="1" t="s">
        <v>356</v>
      </c>
      <c r="C300" t="s">
        <v>18</v>
      </c>
      <c r="D300" t="s">
        <v>32</v>
      </c>
      <c r="E300" t="s">
        <v>20</v>
      </c>
      <c r="F300" t="s">
        <v>21</v>
      </c>
      <c r="G300" s="2">
        <v>4</v>
      </c>
      <c r="H300" s="3">
        <v>792</v>
      </c>
      <c r="I300" s="3">
        <v>569</v>
      </c>
      <c r="J300" s="3">
        <v>223</v>
      </c>
    </row>
    <row r="301" spans="1:10" x14ac:dyDescent="0.25">
      <c r="A301" t="s">
        <v>523</v>
      </c>
      <c r="B301" s="1" t="s">
        <v>524</v>
      </c>
      <c r="C301" t="s">
        <v>24</v>
      </c>
      <c r="D301" t="s">
        <v>47</v>
      </c>
      <c r="E301" t="s">
        <v>14</v>
      </c>
      <c r="F301" t="s">
        <v>15</v>
      </c>
      <c r="G301" s="2">
        <v>3</v>
      </c>
      <c r="H301" s="3">
        <v>459</v>
      </c>
      <c r="I301" s="3">
        <v>305</v>
      </c>
      <c r="J301" s="3">
        <v>154</v>
      </c>
    </row>
  </sheetData>
  <dataConsolidate/>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EB41B-8BAC-406A-908F-D1ACA4276552}">
  <dimension ref="A1:W5"/>
  <sheetViews>
    <sheetView showGridLines="0" showRowColHeaders="0" tabSelected="1" zoomScale="86" zoomScaleNormal="86" zoomScaleSheetLayoutView="80" workbookViewId="0">
      <selection activeCell="L6" sqref="L6"/>
      <extLst>
        <ext xmlns:xlsdti="http://schemas.microsoft.com/office/spreadsheetml/2023/showDataTypeIcons" uri="{77bfe23e-c014-4d31-8a63-9c772dbf06b6}">
          <xlsdti:showDataTypeIcons visible="0"/>
        </ext>
      </extLst>
    </sheetView>
  </sheetViews>
  <sheetFormatPr defaultRowHeight="15" x14ac:dyDescent="0.25"/>
  <cols>
    <col min="1" max="1" width="23.5703125" style="14" customWidth="1"/>
    <col min="2" max="2" width="15.140625" style="14" customWidth="1"/>
    <col min="3" max="16384" width="9.140625" style="14"/>
  </cols>
  <sheetData>
    <row r="1" spans="1:23" ht="28.5" customHeight="1" x14ac:dyDescent="0.4">
      <c r="F1" s="15" t="s">
        <v>546</v>
      </c>
      <c r="W1" s="16"/>
    </row>
    <row r="2" spans="1:23" x14ac:dyDescent="0.25">
      <c r="A2" s="8" t="s">
        <v>532</v>
      </c>
      <c r="B2" s="9">
        <f>Analysis!B2</f>
        <v>555227</v>
      </c>
    </row>
    <row r="3" spans="1:23" x14ac:dyDescent="0.25">
      <c r="A3" s="10" t="s">
        <v>526</v>
      </c>
      <c r="B3" s="11">
        <f>Analysis!B3</f>
        <v>167126</v>
      </c>
    </row>
    <row r="4" spans="1:23" x14ac:dyDescent="0.25">
      <c r="A4" s="10" t="s">
        <v>527</v>
      </c>
      <c r="B4" s="11">
        <f>Analysis!B4</f>
        <v>1850.7566666666667</v>
      </c>
    </row>
    <row r="5" spans="1:23" x14ac:dyDescent="0.25">
      <c r="A5" s="12" t="s">
        <v>533</v>
      </c>
      <c r="B5" s="13">
        <f>Analysis!B5</f>
        <v>0.30100481424714576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vt:lpstr>
      <vt:lpstr>Sales_Clean_Data</vt:lpstr>
      <vt:lpstr>Sales_Raw_Data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DIYANA  K S it23712836</cp:lastModifiedBy>
  <dcterms:created xsi:type="dcterms:W3CDTF">2025-12-22T16:49:36Z</dcterms:created>
  <dcterms:modified xsi:type="dcterms:W3CDTF">2025-12-25T11:42:34Z</dcterms:modified>
</cp:coreProperties>
</file>